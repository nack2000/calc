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non\Desktop\EXCELVBA_FORM\"/>
    </mc:Choice>
  </mc:AlternateContent>
  <bookViews>
    <workbookView xWindow="0" yWindow="0" windowWidth="20280" windowHeight="12135" tabRatio="683"/>
  </bookViews>
  <sheets>
    <sheet name="入力1" sheetId="82" r:id="rId1"/>
    <sheet name="C形状1" sheetId="7" r:id="rId2"/>
    <sheet name="説明" sheetId="5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82" l="1"/>
  <c r="F15" i="82"/>
  <c r="L25" i="82"/>
  <c r="F25" i="82"/>
  <c r="M24" i="82"/>
  <c r="L24" i="82"/>
  <c r="F24" i="82"/>
  <c r="L23" i="82"/>
  <c r="F23" i="82"/>
  <c r="M22" i="82"/>
  <c r="L22" i="82"/>
  <c r="F22" i="82"/>
  <c r="L21" i="82"/>
  <c r="F21" i="82"/>
  <c r="L20" i="82"/>
  <c r="F20" i="82"/>
  <c r="L19" i="82"/>
  <c r="F19" i="82"/>
  <c r="L18" i="82"/>
  <c r="F18" i="82"/>
  <c r="M17" i="82"/>
  <c r="L17" i="82"/>
  <c r="F17" i="82"/>
  <c r="L14" i="82"/>
  <c r="F14" i="82"/>
  <c r="M12" i="82"/>
  <c r="L12" i="82"/>
  <c r="F12" i="82"/>
  <c r="L10" i="82"/>
  <c r="F10" i="82"/>
  <c r="M16" i="82" l="1"/>
  <c r="L16" i="82"/>
  <c r="F16" i="82"/>
  <c r="M13" i="82"/>
  <c r="L13" i="82"/>
  <c r="F13" i="82"/>
  <c r="M11" i="82"/>
  <c r="L11" i="82"/>
  <c r="F11" i="82"/>
  <c r="I5" i="82" l="1"/>
  <c r="N21" i="82"/>
  <c r="N12" i="82"/>
  <c r="N18" i="82"/>
  <c r="N13" i="82"/>
  <c r="N20" i="82"/>
  <c r="N22" i="82"/>
  <c r="N11" i="82"/>
  <c r="N16" i="82"/>
  <c r="N19" i="82"/>
  <c r="N15" i="82"/>
  <c r="N23" i="82"/>
  <c r="N10" i="82"/>
  <c r="N14" i="82"/>
  <c r="N17" i="82"/>
  <c r="N24" i="82"/>
  <c r="N25" i="82"/>
  <c r="O15" i="82" l="1"/>
  <c r="O25" i="82"/>
  <c r="O24" i="82"/>
  <c r="O23" i="82"/>
  <c r="O22" i="82"/>
  <c r="O21" i="82"/>
  <c r="O20" i="82"/>
  <c r="O19" i="82"/>
  <c r="O18" i="82"/>
  <c r="O17" i="82"/>
  <c r="O14" i="82"/>
  <c r="O12" i="82"/>
  <c r="O10" i="82"/>
  <c r="O16" i="82"/>
  <c r="O13" i="82"/>
  <c r="O11" i="82"/>
  <c r="O29" i="82"/>
  <c r="O32" i="82" l="1"/>
  <c r="R37" i="7"/>
  <c r="R48" i="7"/>
  <c r="R16" i="7"/>
  <c r="R22" i="7"/>
  <c r="R43" i="7"/>
  <c r="R23" i="7"/>
  <c r="R18" i="7"/>
  <c r="R17" i="7"/>
  <c r="R46" i="7"/>
  <c r="R28" i="7"/>
  <c r="R53" i="7"/>
  <c r="R36" i="7"/>
  <c r="R24" i="7"/>
  <c r="R42" i="7"/>
  <c r="R30" i="7"/>
  <c r="R31" i="7"/>
  <c r="R32" i="7"/>
  <c r="R54" i="7"/>
  <c r="R29" i="7"/>
  <c r="R44" i="7"/>
  <c r="R19" i="7"/>
  <c r="R45" i="7"/>
  <c r="R27" i="7"/>
  <c r="R15" i="7"/>
  <c r="R21" i="7"/>
  <c r="R55" i="7"/>
  <c r="R20" i="7"/>
  <c r="R49" i="7"/>
  <c r="R50" i="7"/>
  <c r="R38" i="7"/>
  <c r="R40" i="7"/>
  <c r="R39" i="7"/>
  <c r="R25" i="7"/>
  <c r="R35" i="7"/>
  <c r="R41" i="7"/>
  <c r="R51" i="7"/>
  <c r="R33" i="7"/>
  <c r="R47" i="7"/>
  <c r="R56" i="7"/>
  <c r="R26" i="7"/>
  <c r="R52" i="7"/>
  <c r="R34" i="7"/>
  <c r="M10" i="7" l="1"/>
  <c r="S59" i="7"/>
  <c r="Q18" i="7" l="1"/>
  <c r="P18" i="7"/>
  <c r="J18" i="7"/>
  <c r="S18" i="7" l="1"/>
  <c r="S44" i="7" l="1"/>
  <c r="S43" i="7"/>
  <c r="S42" i="7"/>
  <c r="P55" i="7" l="1"/>
  <c r="P54" i="7"/>
  <c r="P53" i="7"/>
  <c r="J55" i="7"/>
  <c r="S55" i="7" s="1"/>
  <c r="J54" i="7"/>
  <c r="S54" i="7" s="1"/>
  <c r="J53" i="7"/>
  <c r="S53" i="7" s="1"/>
  <c r="P52" i="7"/>
  <c r="J52" i="7"/>
  <c r="S52" i="7" s="1"/>
  <c r="P51" i="7"/>
  <c r="J51" i="7"/>
  <c r="S51" i="7" s="1"/>
  <c r="Q50" i="7"/>
  <c r="P56" i="7"/>
  <c r="J56" i="7"/>
  <c r="S56" i="7" s="1"/>
  <c r="P16" i="7"/>
  <c r="P17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15" i="7"/>
  <c r="J50" i="7"/>
  <c r="J49" i="7"/>
  <c r="J48" i="7"/>
  <c r="J47" i="7"/>
  <c r="J46" i="7"/>
  <c r="J45" i="7"/>
  <c r="J44" i="7"/>
  <c r="J43" i="7"/>
  <c r="J42" i="7"/>
  <c r="J41" i="7"/>
  <c r="S41" i="7" s="1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7" i="7"/>
  <c r="J16" i="7"/>
  <c r="J15" i="7"/>
  <c r="S62" i="7" l="1"/>
  <c r="Q49" i="7" l="1"/>
  <c r="Q48" i="7"/>
  <c r="I197" i="5"/>
  <c r="I212" i="5"/>
  <c r="S45" i="7" l="1"/>
  <c r="S28" i="7" l="1"/>
  <c r="S27" i="7"/>
  <c r="S26" i="7"/>
  <c r="S24" i="7"/>
  <c r="S25" i="7"/>
  <c r="S47" i="7"/>
  <c r="S46" i="7"/>
  <c r="Q20" i="7"/>
  <c r="Q19" i="7"/>
  <c r="Q17" i="7"/>
  <c r="Q16" i="7"/>
  <c r="Q15" i="7"/>
  <c r="S40" i="7"/>
  <c r="S39" i="7"/>
  <c r="S38" i="7"/>
  <c r="S37" i="7"/>
  <c r="S36" i="7"/>
  <c r="S35" i="7"/>
  <c r="S34" i="7"/>
  <c r="S33" i="7"/>
  <c r="S32" i="7"/>
  <c r="S31" i="7"/>
  <c r="S30" i="7"/>
  <c r="S29" i="7"/>
  <c r="S23" i="7"/>
  <c r="S22" i="7"/>
  <c r="S21" i="7"/>
  <c r="S50" i="7" l="1"/>
  <c r="S49" i="7"/>
  <c r="S48" i="7"/>
  <c r="S19" i="7"/>
  <c r="S17" i="7"/>
  <c r="S15" i="7"/>
  <c r="S20" i="7"/>
  <c r="S16" i="7"/>
</calcChain>
</file>

<file path=xl/sharedStrings.xml><?xml version="1.0" encoding="utf-8"?>
<sst xmlns="http://schemas.openxmlformats.org/spreadsheetml/2006/main" count="620" uniqueCount="324">
  <si>
    <t>直管長</t>
    <rPh sb="0" eb="2">
      <t>チョッカン</t>
    </rPh>
    <rPh sb="2" eb="3">
      <t>チョウ</t>
    </rPh>
    <phoneticPr fontId="1"/>
  </si>
  <si>
    <t>L</t>
    <phoneticPr fontId="1"/>
  </si>
  <si>
    <t>[m]</t>
    <phoneticPr fontId="1"/>
  </si>
  <si>
    <t>[mm]</t>
    <phoneticPr fontId="1"/>
  </si>
  <si>
    <t>[個]</t>
    <rPh sb="1" eb="2">
      <t>コ</t>
    </rPh>
    <phoneticPr fontId="1"/>
  </si>
  <si>
    <t>計算式</t>
    <rPh sb="0" eb="3">
      <t>ケイサンシキ</t>
    </rPh>
    <phoneticPr fontId="1"/>
  </si>
  <si>
    <t>D</t>
    <phoneticPr fontId="1"/>
  </si>
  <si>
    <t>直管（鋼管）</t>
    <rPh sb="0" eb="2">
      <t>チョッカン</t>
    </rPh>
    <rPh sb="3" eb="5">
      <t>コウカン</t>
    </rPh>
    <phoneticPr fontId="1"/>
  </si>
  <si>
    <t>直管（鋳鉄管）</t>
    <rPh sb="0" eb="2">
      <t>チョッカン</t>
    </rPh>
    <rPh sb="3" eb="5">
      <t>チュウテツ</t>
    </rPh>
    <rPh sb="5" eb="6">
      <t>カン</t>
    </rPh>
    <phoneticPr fontId="1"/>
  </si>
  <si>
    <t>直管（塩ビ管）</t>
    <rPh sb="0" eb="2">
      <t>チョッカン</t>
    </rPh>
    <rPh sb="3" eb="4">
      <t>エン</t>
    </rPh>
    <rPh sb="5" eb="6">
      <t>カン</t>
    </rPh>
    <phoneticPr fontId="1"/>
  </si>
  <si>
    <t>直管（鋳鉄管／経年劣化有）</t>
    <rPh sb="0" eb="2">
      <t>チョッカン</t>
    </rPh>
    <rPh sb="3" eb="5">
      <t>チュウテツ</t>
    </rPh>
    <rPh sb="5" eb="6">
      <t>カン</t>
    </rPh>
    <rPh sb="7" eb="9">
      <t>ケイネン</t>
    </rPh>
    <rPh sb="9" eb="11">
      <t>レッカ</t>
    </rPh>
    <rPh sb="11" eb="12">
      <t>アリ</t>
    </rPh>
    <phoneticPr fontId="1"/>
  </si>
  <si>
    <t>直管（鋼管／経年劣化有）</t>
    <rPh sb="0" eb="2">
      <t>チョッカン</t>
    </rPh>
    <rPh sb="3" eb="5">
      <t>コウカン</t>
    </rPh>
    <rPh sb="6" eb="8">
      <t>ケイネン</t>
    </rPh>
    <rPh sb="8" eb="10">
      <t>レッカ</t>
    </rPh>
    <rPh sb="10" eb="11">
      <t>アリ</t>
    </rPh>
    <phoneticPr fontId="1"/>
  </si>
  <si>
    <t>[m/s]</t>
    <phoneticPr fontId="1"/>
  </si>
  <si>
    <t>数量</t>
    <rPh sb="0" eb="2">
      <t>スウリョウ</t>
    </rPh>
    <phoneticPr fontId="1"/>
  </si>
  <si>
    <t>N</t>
    <phoneticPr fontId="1"/>
  </si>
  <si>
    <t>0.02 + 1/(2000 × D)</t>
    <phoneticPr fontId="1"/>
  </si>
  <si>
    <t>0.018 + 1/(2300 × D)</t>
    <phoneticPr fontId="1"/>
  </si>
  <si>
    <t>管径 [m]</t>
    <rPh sb="0" eb="2">
      <t>カンケイ</t>
    </rPh>
    <phoneticPr fontId="1"/>
  </si>
  <si>
    <t>管長 [m]</t>
    <rPh sb="0" eb="1">
      <t>カン</t>
    </rPh>
    <rPh sb="1" eb="2">
      <t>チョウ</t>
    </rPh>
    <phoneticPr fontId="1"/>
  </si>
  <si>
    <t>g</t>
    <phoneticPr fontId="1"/>
  </si>
  <si>
    <r>
      <t>重力加速度 9.8 [m/s</t>
    </r>
    <r>
      <rPr>
        <vertAlign val="superscript"/>
        <sz val="11"/>
        <color theme="1"/>
        <rFont val="Yu Gothic UI"/>
        <family val="3"/>
        <charset val="128"/>
        <scheme val="minor"/>
      </rPr>
      <t>2</t>
    </r>
    <r>
      <rPr>
        <sz val="11"/>
        <color theme="1"/>
        <rFont val="Yu Gothic UI"/>
        <family val="2"/>
        <charset val="128"/>
        <scheme val="minor"/>
      </rPr>
      <t>]</t>
    </r>
    <rPh sb="0" eb="2">
      <t>ジュウリョク</t>
    </rPh>
    <rPh sb="2" eb="5">
      <t>カソクド</t>
    </rPh>
    <phoneticPr fontId="1"/>
  </si>
  <si>
    <t>V</t>
    <phoneticPr fontId="1"/>
  </si>
  <si>
    <t>流速 [m/s]</t>
    <rPh sb="0" eb="2">
      <t>リュウソク</t>
    </rPh>
    <phoneticPr fontId="1"/>
  </si>
  <si>
    <t>汚泥補正</t>
    <rPh sb="0" eb="2">
      <t>オデイ</t>
    </rPh>
    <rPh sb="2" eb="4">
      <t>ホセイ</t>
    </rPh>
    <phoneticPr fontId="1"/>
  </si>
  <si>
    <t>損失係数</t>
    <rPh sb="0" eb="2">
      <t>ソンシツ</t>
    </rPh>
    <rPh sb="2" eb="4">
      <t>ケイスウ</t>
    </rPh>
    <phoneticPr fontId="1"/>
  </si>
  <si>
    <t>損失ヘッド [m]</t>
    <rPh sb="0" eb="2">
      <t>ソンシツ</t>
    </rPh>
    <phoneticPr fontId="1"/>
  </si>
  <si>
    <t>　(2)曲管</t>
    <rPh sb="4" eb="5">
      <t>マガリ</t>
    </rPh>
    <rPh sb="5" eb="6">
      <t>カン</t>
    </rPh>
    <phoneticPr fontId="1"/>
  </si>
  <si>
    <t>f</t>
    <phoneticPr fontId="1"/>
  </si>
  <si>
    <t>h</t>
    <phoneticPr fontId="1"/>
  </si>
  <si>
    <t>入口</t>
    <rPh sb="0" eb="2">
      <t>イリグチ</t>
    </rPh>
    <phoneticPr fontId="1"/>
  </si>
  <si>
    <t>出口</t>
    <rPh sb="0" eb="2">
      <t>デグチ</t>
    </rPh>
    <phoneticPr fontId="1"/>
  </si>
  <si>
    <t>θ＝</t>
    <phoneticPr fontId="1"/>
  </si>
  <si>
    <t>（備考）R/D＝1.5</t>
    <rPh sb="1" eb="3">
      <t>ビコウ</t>
    </rPh>
    <phoneticPr fontId="1"/>
  </si>
  <si>
    <t>曲管の抵抗係数</t>
    <rPh sb="0" eb="1">
      <t>マガ</t>
    </rPh>
    <rPh sb="1" eb="2">
      <t>カン</t>
    </rPh>
    <rPh sb="3" eb="5">
      <t>テイコウ</t>
    </rPh>
    <rPh sb="5" eb="7">
      <t>ケイスウ</t>
    </rPh>
    <phoneticPr fontId="1"/>
  </si>
  <si>
    <t>f ＝ 1</t>
    <phoneticPr fontId="1"/>
  </si>
  <si>
    <t>f ＝ 0.5</t>
    <phoneticPr fontId="1"/>
  </si>
  <si>
    <t>f ＝ 0.2</t>
    <phoneticPr fontId="1"/>
  </si>
  <si>
    <t>f</t>
    <phoneticPr fontId="1"/>
  </si>
  <si>
    <t>f</t>
    <phoneticPr fontId="1"/>
  </si>
  <si>
    <t>　(3)屈折</t>
    <rPh sb="4" eb="6">
      <t>クッセツ</t>
    </rPh>
    <phoneticPr fontId="1"/>
  </si>
  <si>
    <t>　(1)吸込口</t>
    <rPh sb="4" eb="6">
      <t>スイコ</t>
    </rPh>
    <rPh sb="6" eb="7">
      <t>グチ</t>
    </rPh>
    <phoneticPr fontId="1"/>
  </si>
  <si>
    <t>　ただし、ライニング鋳鉄管、ライニング鋼管、塩ビ管は、1.0とする。</t>
    <phoneticPr fontId="1"/>
  </si>
  <si>
    <t>※経年劣化のある鋳鉄管、鋼管の損失係数は、新管の1.5とする。</t>
    <rPh sb="1" eb="3">
      <t>ケイネン</t>
    </rPh>
    <rPh sb="3" eb="5">
      <t>レッカ</t>
    </rPh>
    <rPh sb="8" eb="11">
      <t>チュウテツカン</t>
    </rPh>
    <rPh sb="12" eb="14">
      <t>コウカン</t>
    </rPh>
    <rPh sb="15" eb="17">
      <t>ソンシツ</t>
    </rPh>
    <rPh sb="17" eb="19">
      <t>ケイスウ</t>
    </rPh>
    <rPh sb="21" eb="22">
      <t>シン</t>
    </rPh>
    <rPh sb="22" eb="23">
      <t>カン</t>
    </rPh>
    <phoneticPr fontId="1"/>
  </si>
  <si>
    <t>吸込口（突出し）</t>
    <rPh sb="0" eb="2">
      <t>スイコ</t>
    </rPh>
    <rPh sb="2" eb="3">
      <t>グチ</t>
    </rPh>
    <rPh sb="4" eb="6">
      <t>ツキダ</t>
    </rPh>
    <phoneticPr fontId="1"/>
  </si>
  <si>
    <t>①突出し</t>
    <rPh sb="1" eb="3">
      <t>ツキダ</t>
    </rPh>
    <phoneticPr fontId="1"/>
  </si>
  <si>
    <t>②角端</t>
    <rPh sb="1" eb="2">
      <t>カク</t>
    </rPh>
    <rPh sb="2" eb="3">
      <t>タン</t>
    </rPh>
    <phoneticPr fontId="1"/>
  </si>
  <si>
    <t>③ベルマウス</t>
    <phoneticPr fontId="1"/>
  </si>
  <si>
    <t>吸込口（角端）</t>
    <rPh sb="0" eb="2">
      <t>スイコ</t>
    </rPh>
    <rPh sb="2" eb="3">
      <t>グチ</t>
    </rPh>
    <rPh sb="4" eb="5">
      <t>カク</t>
    </rPh>
    <rPh sb="5" eb="6">
      <t>タン</t>
    </rPh>
    <phoneticPr fontId="1"/>
  </si>
  <si>
    <t>吸込口（ベルマウス）</t>
    <rPh sb="0" eb="2">
      <t>スイコ</t>
    </rPh>
    <rPh sb="2" eb="3">
      <t>グチ</t>
    </rPh>
    <phoneticPr fontId="1"/>
  </si>
  <si>
    <t>f</t>
    <phoneticPr fontId="1"/>
  </si>
  <si>
    <t>-</t>
    <phoneticPr fontId="1"/>
  </si>
  <si>
    <t>1.5 × [直管（鋳鉄管）]</t>
    <rPh sb="7" eb="9">
      <t>チョッカン</t>
    </rPh>
    <rPh sb="10" eb="13">
      <t>チュウテツカン</t>
    </rPh>
    <phoneticPr fontId="1"/>
  </si>
  <si>
    <t>1.5 × [直管（鋼管）]</t>
    <rPh sb="10" eb="12">
      <t>コウカン</t>
    </rPh>
    <phoneticPr fontId="1"/>
  </si>
  <si>
    <t>汚泥補正係数 α＝ exp(0.216*C）</t>
    <phoneticPr fontId="1"/>
  </si>
  <si>
    <t>ｆ ＝ 1.0</t>
    <phoneticPr fontId="1"/>
  </si>
  <si>
    <t>ｆ ＝ 0.8</t>
    <phoneticPr fontId="1"/>
  </si>
  <si>
    <t>ｆ ＝ 0.5</t>
    <phoneticPr fontId="1"/>
  </si>
  <si>
    <t>ｆ ＝ 1.0</t>
    <phoneticPr fontId="1"/>
  </si>
  <si>
    <t>　(8)放流口</t>
    <rPh sb="4" eb="6">
      <t>ホウリュウ</t>
    </rPh>
    <rPh sb="6" eb="7">
      <t>グチ</t>
    </rPh>
    <phoneticPr fontId="1"/>
  </si>
  <si>
    <t>放流口</t>
    <rPh sb="0" eb="2">
      <t>ホウリュウ</t>
    </rPh>
    <rPh sb="2" eb="3">
      <t>グチ</t>
    </rPh>
    <phoneticPr fontId="1"/>
  </si>
  <si>
    <t>　(9)弁類</t>
    <rPh sb="4" eb="5">
      <t>ベン</t>
    </rPh>
    <rPh sb="5" eb="6">
      <t>ルイ</t>
    </rPh>
    <phoneticPr fontId="1"/>
  </si>
  <si>
    <t>h = f ・V^2/2g</t>
    <phoneticPr fontId="1"/>
  </si>
  <si>
    <t>h = f ・(V1-V2)^2/2g</t>
    <phoneticPr fontId="1"/>
  </si>
  <si>
    <t>h = f ・V2^2/2g</t>
    <phoneticPr fontId="1"/>
  </si>
  <si>
    <t>ｆ ＝ 0.015</t>
    <phoneticPr fontId="1"/>
  </si>
  <si>
    <t>（θ＝30°、(D2/D1)^2＝0.6を採用）</t>
    <rPh sb="21" eb="23">
      <t>サイヨウ</t>
    </rPh>
    <phoneticPr fontId="1"/>
  </si>
  <si>
    <t>（θ＝30°、D2/D1=1.5を採用）</t>
    <rPh sb="17" eb="19">
      <t>サイヨウ</t>
    </rPh>
    <phoneticPr fontId="1"/>
  </si>
  <si>
    <r>
      <t>h</t>
    </r>
    <r>
      <rPr>
        <sz val="11"/>
        <color theme="1"/>
        <rFont val="Yu Gothic UI"/>
        <family val="2"/>
        <charset val="128"/>
        <scheme val="minor"/>
      </rPr>
      <t xml:space="preserve"> = f・L/D・V</t>
    </r>
    <r>
      <rPr>
        <sz val="11"/>
        <color theme="1"/>
        <rFont val="Yu Gothic UI"/>
        <family val="3"/>
        <charset val="128"/>
        <scheme val="minor"/>
      </rPr>
      <t>^2</t>
    </r>
    <r>
      <rPr>
        <sz val="11"/>
        <color theme="1"/>
        <rFont val="Yu Gothic UI"/>
        <family val="2"/>
        <charset val="128"/>
        <scheme val="minor"/>
      </rPr>
      <t>/2g</t>
    </r>
    <phoneticPr fontId="1"/>
  </si>
  <si>
    <r>
      <t>h</t>
    </r>
    <r>
      <rPr>
        <sz val="11"/>
        <color theme="1"/>
        <rFont val="Yu Gothic UI"/>
        <family val="2"/>
        <charset val="128"/>
        <scheme val="minor"/>
      </rPr>
      <t>　＝　f・V^</t>
    </r>
    <r>
      <rPr>
        <sz val="11"/>
        <color theme="1"/>
        <rFont val="Yu Gothic UI"/>
        <family val="3"/>
        <charset val="128"/>
        <scheme val="minor"/>
      </rPr>
      <t>2</t>
    </r>
    <r>
      <rPr>
        <sz val="11"/>
        <color theme="1"/>
        <rFont val="Yu Gothic UI"/>
        <family val="2"/>
        <charset val="128"/>
        <scheme val="minor"/>
      </rPr>
      <t>/2g</t>
    </r>
    <phoneticPr fontId="1"/>
  </si>
  <si>
    <t>①フート弁</t>
    <rPh sb="4" eb="5">
      <t>ベン</t>
    </rPh>
    <phoneticPr fontId="1"/>
  </si>
  <si>
    <t>f ＝ 2.0</t>
    <phoneticPr fontId="1"/>
  </si>
  <si>
    <t>f ＝ 1.5</t>
    <phoneticPr fontId="1"/>
  </si>
  <si>
    <t>②逆止弁（スイング式）</t>
    <rPh sb="1" eb="3">
      <t>ギャクシ</t>
    </rPh>
    <rPh sb="3" eb="4">
      <t>ベン</t>
    </rPh>
    <rPh sb="9" eb="10">
      <t>シキ</t>
    </rPh>
    <phoneticPr fontId="1"/>
  </si>
  <si>
    <t>口径D[mm]</t>
    <rPh sb="0" eb="2">
      <t>コウケイ</t>
    </rPh>
    <phoneticPr fontId="1"/>
  </si>
  <si>
    <t>300以上</t>
    <rPh sb="3" eb="5">
      <t>イジョウ</t>
    </rPh>
    <phoneticPr fontId="1"/>
  </si>
  <si>
    <t>（無視）</t>
    <rPh sb="1" eb="3">
      <t>ムシ</t>
    </rPh>
    <phoneticPr fontId="1"/>
  </si>
  <si>
    <t>⑤バタフライ弁（全開）</t>
    <rPh sb="6" eb="7">
      <t>ベン</t>
    </rPh>
    <rPh sb="8" eb="10">
      <t>ゼンカイ</t>
    </rPh>
    <phoneticPr fontId="1"/>
  </si>
  <si>
    <t>800以下</t>
    <rPh sb="3" eb="5">
      <t>イカ</t>
    </rPh>
    <phoneticPr fontId="1"/>
  </si>
  <si>
    <t>1350以下</t>
    <rPh sb="4" eb="6">
      <t>イカ</t>
    </rPh>
    <phoneticPr fontId="1"/>
  </si>
  <si>
    <t>弁口径による</t>
    <rPh sb="0" eb="1">
      <t>ベン</t>
    </rPh>
    <rPh sb="1" eb="3">
      <t>コウケイ</t>
    </rPh>
    <phoneticPr fontId="1"/>
  </si>
  <si>
    <t>中間開度で使用する場合は、別途補正する。</t>
    <rPh sb="0" eb="2">
      <t>チュウカン</t>
    </rPh>
    <rPh sb="2" eb="4">
      <t>カイド</t>
    </rPh>
    <rPh sb="5" eb="7">
      <t>シヨウ</t>
    </rPh>
    <rPh sb="9" eb="11">
      <t>バアイ</t>
    </rPh>
    <rPh sb="13" eb="15">
      <t>ベット</t>
    </rPh>
    <rPh sb="15" eb="17">
      <t>ホセイ</t>
    </rPh>
    <phoneticPr fontId="1"/>
  </si>
  <si>
    <t>逆止弁（スイング式）</t>
    <rPh sb="0" eb="2">
      <t>ギャクシ</t>
    </rPh>
    <rPh sb="2" eb="3">
      <t>ベン</t>
    </rPh>
    <rPh sb="8" eb="9">
      <t>シキ</t>
    </rPh>
    <phoneticPr fontId="1"/>
  </si>
  <si>
    <t>バタフライ弁（全開）</t>
    <rPh sb="5" eb="6">
      <t>ベン</t>
    </rPh>
    <rPh sb="7" eb="9">
      <t>ゼンカイ</t>
    </rPh>
    <phoneticPr fontId="1"/>
  </si>
  <si>
    <t>f ＝ 1.0</t>
    <phoneticPr fontId="1"/>
  </si>
  <si>
    <t>鋼管／90°ロングエルボ</t>
    <rPh sb="0" eb="2">
      <t>コウカン</t>
    </rPh>
    <phoneticPr fontId="1"/>
  </si>
  <si>
    <t>鋼管／90°ショートエルボ</t>
    <rPh sb="0" eb="2">
      <t>コウカン</t>
    </rPh>
    <phoneticPr fontId="1"/>
  </si>
  <si>
    <t>鋼管／45°エルボ</t>
    <rPh sb="0" eb="2">
      <t>コウカン</t>
    </rPh>
    <phoneticPr fontId="1"/>
  </si>
  <si>
    <t>f</t>
    <phoneticPr fontId="1"/>
  </si>
  <si>
    <t>種類</t>
    <rPh sb="0" eb="2">
      <t>シュルイ</t>
    </rPh>
    <phoneticPr fontId="1"/>
  </si>
  <si>
    <t>よく使う継手</t>
    <rPh sb="2" eb="3">
      <t>ツカ</t>
    </rPh>
    <rPh sb="4" eb="5">
      <t>ツギ</t>
    </rPh>
    <rPh sb="5" eb="6">
      <t>テ</t>
    </rPh>
    <phoneticPr fontId="1"/>
  </si>
  <si>
    <t>塩ビ管／45°継手</t>
    <rPh sb="0" eb="1">
      <t>エン</t>
    </rPh>
    <rPh sb="2" eb="3">
      <t>カン</t>
    </rPh>
    <rPh sb="7" eb="8">
      <t>ツギ</t>
    </rPh>
    <rPh sb="8" eb="9">
      <t>テ</t>
    </rPh>
    <phoneticPr fontId="1"/>
  </si>
  <si>
    <t>塩ビ管／90°継手</t>
    <rPh sb="0" eb="1">
      <t>エン</t>
    </rPh>
    <rPh sb="2" eb="3">
      <t>カン</t>
    </rPh>
    <rPh sb="7" eb="8">
      <t>ツギ</t>
    </rPh>
    <rPh sb="8" eb="9">
      <t>テ</t>
    </rPh>
    <phoneticPr fontId="1"/>
  </si>
  <si>
    <t>備考</t>
    <rPh sb="0" eb="2">
      <t>ビコウ</t>
    </rPh>
    <phoneticPr fontId="1"/>
  </si>
  <si>
    <t>曲管（15°）</t>
    <rPh sb="0" eb="1">
      <t>マガ</t>
    </rPh>
    <rPh sb="1" eb="2">
      <t>カン</t>
    </rPh>
    <phoneticPr fontId="1"/>
  </si>
  <si>
    <t>曲管（22.5°）</t>
    <rPh sb="0" eb="1">
      <t>マガ</t>
    </rPh>
    <rPh sb="1" eb="2">
      <t>カン</t>
    </rPh>
    <phoneticPr fontId="1"/>
  </si>
  <si>
    <t>曲管（30°）</t>
    <rPh sb="0" eb="1">
      <t>マガ</t>
    </rPh>
    <rPh sb="1" eb="2">
      <t>カン</t>
    </rPh>
    <phoneticPr fontId="1"/>
  </si>
  <si>
    <t>曲管（45°）</t>
    <rPh sb="0" eb="1">
      <t>マガ</t>
    </rPh>
    <rPh sb="1" eb="2">
      <t>カン</t>
    </rPh>
    <phoneticPr fontId="1"/>
  </si>
  <si>
    <t>曲管（60°）</t>
    <rPh sb="0" eb="1">
      <t>マガ</t>
    </rPh>
    <rPh sb="1" eb="2">
      <t>カン</t>
    </rPh>
    <phoneticPr fontId="1"/>
  </si>
  <si>
    <t>曲管（90°）</t>
    <rPh sb="0" eb="1">
      <t>マガ</t>
    </rPh>
    <rPh sb="1" eb="2">
      <t>カン</t>
    </rPh>
    <phoneticPr fontId="1"/>
  </si>
  <si>
    <t>（例）鋼管のロング・ショートエルボ、塩ビ管のTS接手</t>
    <rPh sb="1" eb="2">
      <t>レイ</t>
    </rPh>
    <rPh sb="3" eb="5">
      <t>コウカン</t>
    </rPh>
    <rPh sb="18" eb="19">
      <t>エン</t>
    </rPh>
    <rPh sb="20" eb="21">
      <t>カン</t>
    </rPh>
    <rPh sb="24" eb="26">
      <t>ツギテ</t>
    </rPh>
    <phoneticPr fontId="1"/>
  </si>
  <si>
    <t>1350超</t>
    <rPh sb="4" eb="5">
      <t>コ</t>
    </rPh>
    <phoneticPr fontId="1"/>
  </si>
  <si>
    <t>口径 D1</t>
    <rPh sb="0" eb="2">
      <t>コウケイ</t>
    </rPh>
    <phoneticPr fontId="1"/>
  </si>
  <si>
    <t>流量 Q1</t>
    <rPh sb="0" eb="2">
      <t>リュウリョウ</t>
    </rPh>
    <phoneticPr fontId="1"/>
  </si>
  <si>
    <t>流速 V1</t>
    <rPh sb="0" eb="2">
      <t>リュウソク</t>
    </rPh>
    <phoneticPr fontId="1"/>
  </si>
  <si>
    <t>口径 D2</t>
    <rPh sb="0" eb="2">
      <t>コウケイ</t>
    </rPh>
    <phoneticPr fontId="1"/>
  </si>
  <si>
    <t>流速 V2</t>
    <rPh sb="0" eb="2">
      <t>リュウソク</t>
    </rPh>
    <phoneticPr fontId="1"/>
  </si>
  <si>
    <t>係数 α</t>
    <rPh sb="0" eb="2">
      <t>ケイスウ</t>
    </rPh>
    <phoneticPr fontId="1"/>
  </si>
  <si>
    <t>（ダルシー・ワイズバッハ式）</t>
    <rPh sb="12" eb="13">
      <t>シキ</t>
    </rPh>
    <phoneticPr fontId="1"/>
  </si>
  <si>
    <t>管路の形状</t>
    <rPh sb="0" eb="2">
      <t>カンロ</t>
    </rPh>
    <rPh sb="3" eb="5">
      <t>ケイジョウ</t>
    </rPh>
    <phoneticPr fontId="1"/>
  </si>
  <si>
    <t>■計算式と係数の説明</t>
    <rPh sb="1" eb="3">
      <t>ケイサン</t>
    </rPh>
    <rPh sb="3" eb="4">
      <t>シキ</t>
    </rPh>
    <rPh sb="5" eb="7">
      <t>ケイスウ</t>
    </rPh>
    <rPh sb="8" eb="10">
      <t>セツメイ</t>
    </rPh>
    <phoneticPr fontId="1"/>
  </si>
  <si>
    <t>１．概要</t>
    <rPh sb="2" eb="4">
      <t>ガイヨウ</t>
    </rPh>
    <phoneticPr fontId="1"/>
  </si>
  <si>
    <t>２．直管部分の損失ヘッド</t>
    <rPh sb="2" eb="4">
      <t>チョッカン</t>
    </rPh>
    <rPh sb="4" eb="6">
      <t>ブブン</t>
    </rPh>
    <rPh sb="7" eb="9">
      <t>ソンシツ</t>
    </rPh>
    <phoneticPr fontId="1"/>
  </si>
  <si>
    <t>３．異形管および弁類の損失ヘッド</t>
    <rPh sb="2" eb="5">
      <t>イケイカン</t>
    </rPh>
    <rPh sb="8" eb="9">
      <t>ベン</t>
    </rPh>
    <rPh sb="9" eb="10">
      <t>ルイ</t>
    </rPh>
    <rPh sb="11" eb="13">
      <t>ソンシツ</t>
    </rPh>
    <phoneticPr fontId="1"/>
  </si>
  <si>
    <t>（説明）</t>
    <rPh sb="1" eb="3">
      <t>セツメイ</t>
    </rPh>
    <phoneticPr fontId="1"/>
  </si>
  <si>
    <t>■マクロの説明</t>
    <rPh sb="5" eb="7">
      <t>セツメイ</t>
    </rPh>
    <phoneticPr fontId="1"/>
  </si>
  <si>
    <t>直管</t>
    <rPh sb="0" eb="2">
      <t>チョッカン</t>
    </rPh>
    <phoneticPr fontId="1"/>
  </si>
  <si>
    <t>吸込口</t>
    <rPh sb="0" eb="1">
      <t>ス</t>
    </rPh>
    <rPh sb="1" eb="2">
      <t>コ</t>
    </rPh>
    <rPh sb="2" eb="3">
      <t>グチ</t>
    </rPh>
    <phoneticPr fontId="1"/>
  </si>
  <si>
    <t>曲管</t>
    <rPh sb="0" eb="1">
      <t>マガリ</t>
    </rPh>
    <rPh sb="1" eb="2">
      <t>カン</t>
    </rPh>
    <phoneticPr fontId="1"/>
  </si>
  <si>
    <t>拡縮管</t>
    <rPh sb="0" eb="1">
      <t>カク</t>
    </rPh>
    <rPh sb="1" eb="2">
      <t>シュク</t>
    </rPh>
    <rPh sb="2" eb="3">
      <t>カン</t>
    </rPh>
    <phoneticPr fontId="1"/>
  </si>
  <si>
    <t>弁類</t>
    <rPh sb="0" eb="1">
      <t>ベン</t>
    </rPh>
    <rPh sb="1" eb="2">
      <t>ルイ</t>
    </rPh>
    <phoneticPr fontId="1"/>
  </si>
  <si>
    <t>その他</t>
    <rPh sb="2" eb="3">
      <t>タ</t>
    </rPh>
    <phoneticPr fontId="1"/>
  </si>
  <si>
    <t>流体種類：</t>
    <rPh sb="0" eb="2">
      <t>リュウタイ</t>
    </rPh>
    <rPh sb="2" eb="4">
      <t>シュルイ</t>
    </rPh>
    <phoneticPr fontId="1"/>
  </si>
  <si>
    <t>配管名：</t>
    <rPh sb="0" eb="2">
      <t>ハイカン</t>
    </rPh>
    <rPh sb="2" eb="3">
      <t>メイ</t>
    </rPh>
    <phoneticPr fontId="1"/>
  </si>
  <si>
    <t>No.</t>
    <phoneticPr fontId="1"/>
  </si>
  <si>
    <t>口径Dmm</t>
    <rPh sb="0" eb="2">
      <t>コウケイ</t>
    </rPh>
    <phoneticPr fontId="1"/>
  </si>
  <si>
    <t>損失係数ｆ</t>
    <rPh sb="0" eb="2">
      <t>ソンシツ</t>
    </rPh>
    <rPh sb="2" eb="4">
      <t>ケイスウ</t>
    </rPh>
    <phoneticPr fontId="1"/>
  </si>
  <si>
    <t>損失</t>
    <rPh sb="0" eb="2">
      <t>ソンシツ</t>
    </rPh>
    <phoneticPr fontId="1"/>
  </si>
  <si>
    <t>ヘッド h</t>
    <phoneticPr fontId="1"/>
  </si>
  <si>
    <t>（空欄）</t>
    <rPh sb="1" eb="3">
      <t>クウラン</t>
    </rPh>
    <phoneticPr fontId="1"/>
  </si>
  <si>
    <t>曲管（鋼管/90°ロング）</t>
    <rPh sb="0" eb="1">
      <t>マガ</t>
    </rPh>
    <rPh sb="1" eb="2">
      <t>カン</t>
    </rPh>
    <rPh sb="3" eb="5">
      <t>コウカン</t>
    </rPh>
    <phoneticPr fontId="1"/>
  </si>
  <si>
    <t>曲管（鋼管/90°ショート）</t>
    <rPh sb="0" eb="1">
      <t>マガリ</t>
    </rPh>
    <rPh sb="1" eb="2">
      <t>カン</t>
    </rPh>
    <rPh sb="3" eb="5">
      <t>コウカン</t>
    </rPh>
    <phoneticPr fontId="1"/>
  </si>
  <si>
    <t>曲管（鋼管/45°）</t>
    <rPh sb="0" eb="1">
      <t>マガ</t>
    </rPh>
    <rPh sb="1" eb="2">
      <t>カン</t>
    </rPh>
    <rPh sb="3" eb="5">
      <t>コウカン</t>
    </rPh>
    <phoneticPr fontId="1"/>
  </si>
  <si>
    <t>曲管（塩ビ管/90°継手）</t>
    <rPh sb="0" eb="1">
      <t>マガ</t>
    </rPh>
    <rPh sb="1" eb="2">
      <t>カン</t>
    </rPh>
    <rPh sb="3" eb="4">
      <t>エン</t>
    </rPh>
    <rPh sb="5" eb="6">
      <t>カン</t>
    </rPh>
    <rPh sb="10" eb="11">
      <t>ツギ</t>
    </rPh>
    <rPh sb="11" eb="12">
      <t>テ</t>
    </rPh>
    <phoneticPr fontId="1"/>
  </si>
  <si>
    <t>曲管（塩ビ管/45°継手）</t>
    <rPh sb="0" eb="1">
      <t>マガ</t>
    </rPh>
    <rPh sb="1" eb="2">
      <t>カン</t>
    </rPh>
    <rPh sb="3" eb="4">
      <t>エン</t>
    </rPh>
    <rPh sb="5" eb="6">
      <t>カン</t>
    </rPh>
    <rPh sb="10" eb="11">
      <t>ツギ</t>
    </rPh>
    <rPh sb="11" eb="12">
      <t>テ</t>
    </rPh>
    <phoneticPr fontId="1"/>
  </si>
  <si>
    <t>直管（鋳鉄管/経年劣化）</t>
    <rPh sb="0" eb="2">
      <t>チョッカン</t>
    </rPh>
    <rPh sb="3" eb="5">
      <t>チュウテツ</t>
    </rPh>
    <rPh sb="5" eb="6">
      <t>カン</t>
    </rPh>
    <rPh sb="7" eb="9">
      <t>ケイネン</t>
    </rPh>
    <rPh sb="9" eb="11">
      <t>レッカ</t>
    </rPh>
    <phoneticPr fontId="1"/>
  </si>
  <si>
    <t>直管（鋼管/経年劣化）</t>
    <rPh sb="0" eb="2">
      <t>チョッカン</t>
    </rPh>
    <rPh sb="3" eb="5">
      <t>コウカン</t>
    </rPh>
    <rPh sb="6" eb="8">
      <t>ケイネン</t>
    </rPh>
    <rPh sb="8" eb="10">
      <t>レッカ</t>
    </rPh>
    <phoneticPr fontId="1"/>
  </si>
  <si>
    <t>実揚程(Hc)　[m]</t>
    <rPh sb="0" eb="1">
      <t>ジツ</t>
    </rPh>
    <rPh sb="1" eb="3">
      <t>ヨウテイ</t>
    </rPh>
    <phoneticPr fontId="1"/>
  </si>
  <si>
    <t>必要揚程(Ha + Hb + Hc)　[m]</t>
    <rPh sb="0" eb="2">
      <t>ヒツヨウ</t>
    </rPh>
    <rPh sb="2" eb="4">
      <t>ヨウテイ</t>
    </rPh>
    <phoneticPr fontId="1"/>
  </si>
  <si>
    <t>その他</t>
    <rPh sb="2" eb="3">
      <t>タ</t>
    </rPh>
    <phoneticPr fontId="1"/>
  </si>
  <si>
    <t>　補正式は、損失ヘッドの計算結果に汚泥補正係数αを掛けたもの。</t>
    <rPh sb="1" eb="3">
      <t>ホセイ</t>
    </rPh>
    <rPh sb="3" eb="4">
      <t>シキ</t>
    </rPh>
    <rPh sb="6" eb="8">
      <t>ソンシツ</t>
    </rPh>
    <rPh sb="12" eb="14">
      <t>ケイサン</t>
    </rPh>
    <rPh sb="14" eb="16">
      <t>ケッカ</t>
    </rPh>
    <rPh sb="17" eb="19">
      <t>オデイ</t>
    </rPh>
    <rPh sb="19" eb="21">
      <t>ホセイ</t>
    </rPh>
    <rPh sb="21" eb="23">
      <t>ケイスウ</t>
    </rPh>
    <rPh sb="25" eb="26">
      <t>カ</t>
    </rPh>
    <phoneticPr fontId="1"/>
  </si>
  <si>
    <t>（Rが小さいもの）</t>
    <rPh sb="3" eb="4">
      <t>チイ</t>
    </rPh>
    <phoneticPr fontId="1"/>
  </si>
  <si>
    <t>出口流速V2を計算するために、</t>
    <rPh sb="0" eb="2">
      <t>デグチ</t>
    </rPh>
    <rPh sb="2" eb="4">
      <t>リュウソク</t>
    </rPh>
    <rPh sb="7" eb="9">
      <t>ケイサン</t>
    </rPh>
    <phoneticPr fontId="1"/>
  </si>
  <si>
    <t>出口口径の入力が必要（以下同）。</t>
    <rPh sb="0" eb="2">
      <t>デグチ</t>
    </rPh>
    <rPh sb="2" eb="4">
      <t>コウケイ</t>
    </rPh>
    <rPh sb="5" eb="7">
      <t>ニュウリョク</t>
    </rPh>
    <rPh sb="8" eb="10">
      <t>ヒツヨウ</t>
    </rPh>
    <rPh sb="11" eb="13">
      <t>イカ</t>
    </rPh>
    <rPh sb="13" eb="14">
      <t>ドウ</t>
    </rPh>
    <phoneticPr fontId="1"/>
  </si>
  <si>
    <t>0.03 + 1/(1000 × D)</t>
    <phoneticPr fontId="1"/>
  </si>
  <si>
    <t>損失係数f</t>
    <rPh sb="0" eb="2">
      <t>ソンシツ</t>
    </rPh>
    <rPh sb="2" eb="4">
      <t>ケイスウ</t>
    </rPh>
    <phoneticPr fontId="1"/>
  </si>
  <si>
    <t>　(10)その他（自由入力欄）</t>
    <rPh sb="7" eb="8">
      <t>タ</t>
    </rPh>
    <rPh sb="9" eb="11">
      <t>ジユウ</t>
    </rPh>
    <rPh sb="11" eb="13">
      <t>ニュウリョク</t>
    </rPh>
    <rPh sb="13" eb="14">
      <t>ラン</t>
    </rPh>
    <phoneticPr fontId="1"/>
  </si>
  <si>
    <t>　計算式は以下による。</t>
    <rPh sb="1" eb="3">
      <t>ケイサン</t>
    </rPh>
    <rPh sb="3" eb="4">
      <t>シキ</t>
    </rPh>
    <rPh sb="5" eb="7">
      <t>イカ</t>
    </rPh>
    <phoneticPr fontId="1"/>
  </si>
  <si>
    <t>管損失係数（文献によってはλ[ラムダ]が使われる）</t>
    <rPh sb="0" eb="1">
      <t>カン</t>
    </rPh>
    <rPh sb="1" eb="3">
      <t>ソンシツ</t>
    </rPh>
    <rPh sb="3" eb="5">
      <t>ケイスウ</t>
    </rPh>
    <rPh sb="6" eb="8">
      <t>ブンケン</t>
    </rPh>
    <rPh sb="20" eb="21">
      <t>ツカ</t>
    </rPh>
    <phoneticPr fontId="1"/>
  </si>
  <si>
    <t>・汚泥の場合は、汚泥濃度による補正を考慮した（図１）。</t>
    <rPh sb="1" eb="3">
      <t>オデイ</t>
    </rPh>
    <rPh sb="4" eb="6">
      <t>バアイ</t>
    </rPh>
    <rPh sb="8" eb="10">
      <t>オデイ</t>
    </rPh>
    <rPh sb="10" eb="12">
      <t>ノウド</t>
    </rPh>
    <rPh sb="15" eb="17">
      <t>ホセイ</t>
    </rPh>
    <rPh sb="18" eb="20">
      <t>コウリョ</t>
    </rPh>
    <rPh sb="23" eb="24">
      <t>ズ</t>
    </rPh>
    <phoneticPr fontId="1"/>
  </si>
  <si>
    <t>上記、曲管のRがないもの。</t>
    <rPh sb="0" eb="2">
      <t>ジョウキ</t>
    </rPh>
    <rPh sb="3" eb="4">
      <t>マガリ</t>
    </rPh>
    <rPh sb="4" eb="5">
      <t>カン</t>
    </rPh>
    <phoneticPr fontId="1"/>
  </si>
  <si>
    <t>屈折管の損失係数</t>
    <rPh sb="0" eb="2">
      <t>クッセツ</t>
    </rPh>
    <rPh sb="2" eb="3">
      <t>カン</t>
    </rPh>
    <rPh sb="4" eb="6">
      <t>ソンシツ</t>
    </rPh>
    <rPh sb="6" eb="8">
      <t>ケイスウ</t>
    </rPh>
    <phoneticPr fontId="1"/>
  </si>
  <si>
    <t>②逆止弁（急閉・緩閉式）</t>
    <rPh sb="1" eb="3">
      <t>ギャクシ</t>
    </rPh>
    <rPh sb="3" eb="4">
      <t>ベン</t>
    </rPh>
    <rPh sb="5" eb="6">
      <t>キュウ</t>
    </rPh>
    <rPh sb="6" eb="7">
      <t>ヘイ</t>
    </rPh>
    <rPh sb="8" eb="9">
      <t>カン</t>
    </rPh>
    <rPh sb="9" eb="10">
      <t>ヘイ</t>
    </rPh>
    <rPh sb="10" eb="11">
      <t>シキ</t>
    </rPh>
    <phoneticPr fontId="1"/>
  </si>
  <si>
    <t>損失ヘッド[m]に換算して自由入力欄に入力する。</t>
    <rPh sb="0" eb="2">
      <t>ソンシツ</t>
    </rPh>
    <rPh sb="9" eb="11">
      <t>カンサン</t>
    </rPh>
    <rPh sb="13" eb="15">
      <t>ジユウ</t>
    </rPh>
    <rPh sb="15" eb="17">
      <t>ニュウリョク</t>
    </rPh>
    <rPh sb="17" eb="18">
      <t>ラン</t>
    </rPh>
    <rPh sb="19" eb="21">
      <t>ニュウリョク</t>
    </rPh>
    <phoneticPr fontId="1"/>
  </si>
  <si>
    <t>ストレーナ、フィルタなどは、カタログで圧力損失[kPa]を調べて、</t>
    <rPh sb="19" eb="21">
      <t>アツリョク</t>
    </rPh>
    <rPh sb="21" eb="23">
      <t>ソンシツ</t>
    </rPh>
    <rPh sb="29" eb="30">
      <t>シラ</t>
    </rPh>
    <phoneticPr fontId="1"/>
  </si>
  <si>
    <t>清掃して使用する場合は、損失ヘッドに3[m]等、直接入力する。</t>
    <rPh sb="0" eb="2">
      <t>セイソウ</t>
    </rPh>
    <rPh sb="4" eb="6">
      <t>シヨウ</t>
    </rPh>
    <rPh sb="8" eb="10">
      <t>バアイ</t>
    </rPh>
    <rPh sb="12" eb="14">
      <t>ソンシツ</t>
    </rPh>
    <rPh sb="22" eb="23">
      <t>トウ</t>
    </rPh>
    <rPh sb="24" eb="26">
      <t>チョクセツ</t>
    </rPh>
    <rPh sb="26" eb="28">
      <t>ニュウリョク</t>
    </rPh>
    <phoneticPr fontId="1"/>
  </si>
  <si>
    <t>（ダルシー・ワイズバッハの式）</t>
    <phoneticPr fontId="1"/>
  </si>
  <si>
    <t>局部損失係数（文献によってはζ[ゼータ]が使われる）</t>
    <rPh sb="0" eb="2">
      <t>キョクブ</t>
    </rPh>
    <rPh sb="2" eb="4">
      <t>ソンシツ</t>
    </rPh>
    <rPh sb="4" eb="6">
      <t>ケイスウ</t>
    </rPh>
    <phoneticPr fontId="1"/>
  </si>
  <si>
    <t>V</t>
    <phoneticPr fontId="1"/>
  </si>
  <si>
    <t>屈折管（15°）</t>
    <rPh sb="0" eb="2">
      <t>クッセツ</t>
    </rPh>
    <rPh sb="2" eb="3">
      <t>カン</t>
    </rPh>
    <phoneticPr fontId="1"/>
  </si>
  <si>
    <t>屈折管（30°）</t>
    <rPh sb="0" eb="2">
      <t>クッセツ</t>
    </rPh>
    <rPh sb="2" eb="3">
      <t>カン</t>
    </rPh>
    <phoneticPr fontId="1"/>
  </si>
  <si>
    <t>屈折管（45°）</t>
    <rPh sb="0" eb="2">
      <t>クッセツ</t>
    </rPh>
    <rPh sb="2" eb="3">
      <t>カン</t>
    </rPh>
    <phoneticPr fontId="1"/>
  </si>
  <si>
    <t>屈折管（60°）</t>
    <rPh sb="0" eb="2">
      <t>クッセツ</t>
    </rPh>
    <rPh sb="2" eb="3">
      <t>カン</t>
    </rPh>
    <phoneticPr fontId="1"/>
  </si>
  <si>
    <t>屈折管（90°）</t>
    <rPh sb="0" eb="2">
      <t>クッセツ</t>
    </rPh>
    <rPh sb="2" eb="3">
      <t>カン</t>
    </rPh>
    <phoneticPr fontId="1"/>
  </si>
  <si>
    <t>屈折管（120°）</t>
    <rPh sb="0" eb="2">
      <t>クッセツ</t>
    </rPh>
    <rPh sb="2" eb="3">
      <t>カン</t>
    </rPh>
    <phoneticPr fontId="1"/>
  </si>
  <si>
    <t>屈折管</t>
    <rPh sb="0" eb="2">
      <t>クッセツ</t>
    </rPh>
    <rPh sb="2" eb="3">
      <t>カン</t>
    </rPh>
    <phoneticPr fontId="1"/>
  </si>
  <si>
    <t>（自由入力欄／ストレーナ等）</t>
    <rPh sb="1" eb="3">
      <t>ジユウ</t>
    </rPh>
    <rPh sb="3" eb="5">
      <t>ニュウリョク</t>
    </rPh>
    <rPh sb="5" eb="6">
      <t>ラン</t>
    </rPh>
    <rPh sb="12" eb="13">
      <t>トウ</t>
    </rPh>
    <phoneticPr fontId="1"/>
  </si>
  <si>
    <t>逆止弁（急閉・緩閉式）</t>
    <rPh sb="0" eb="2">
      <t>ギャクシ</t>
    </rPh>
    <rPh sb="2" eb="3">
      <t>ベン</t>
    </rPh>
    <rPh sb="4" eb="5">
      <t>キュウ</t>
    </rPh>
    <rPh sb="5" eb="6">
      <t>ヘイ</t>
    </rPh>
    <rPh sb="7" eb="8">
      <t>カン</t>
    </rPh>
    <rPh sb="8" eb="9">
      <t>ヘイ</t>
    </rPh>
    <rPh sb="9" eb="10">
      <t>シキ</t>
    </rPh>
    <phoneticPr fontId="1"/>
  </si>
  <si>
    <t>ID</t>
    <phoneticPr fontId="1"/>
  </si>
  <si>
    <t>急拡大</t>
    <rPh sb="0" eb="1">
      <t>キュウ</t>
    </rPh>
    <rPh sb="1" eb="2">
      <t>カク</t>
    </rPh>
    <rPh sb="2" eb="3">
      <t>ダイ</t>
    </rPh>
    <phoneticPr fontId="1"/>
  </si>
  <si>
    <t>漸拡大</t>
    <rPh sb="0" eb="1">
      <t>ザン</t>
    </rPh>
    <rPh sb="1" eb="3">
      <t>カクダイ</t>
    </rPh>
    <phoneticPr fontId="1"/>
  </si>
  <si>
    <t>例）Y型ストレーナを初期圧力損失10 kPa、運転時30 kPa以内の頻度で</t>
    <rPh sb="0" eb="1">
      <t>レイ</t>
    </rPh>
    <rPh sb="3" eb="4">
      <t>ガタ</t>
    </rPh>
    <rPh sb="10" eb="12">
      <t>ショキ</t>
    </rPh>
    <rPh sb="12" eb="14">
      <t>アツリョク</t>
    </rPh>
    <rPh sb="14" eb="16">
      <t>ソンシツ</t>
    </rPh>
    <rPh sb="23" eb="25">
      <t>ウンテン</t>
    </rPh>
    <rPh sb="25" eb="26">
      <t>ジ</t>
    </rPh>
    <rPh sb="32" eb="34">
      <t>イナイ</t>
    </rPh>
    <rPh sb="35" eb="37">
      <t>ヒンド</t>
    </rPh>
    <phoneticPr fontId="1"/>
  </si>
  <si>
    <t>④仕切弁（全開）</t>
    <rPh sb="1" eb="3">
      <t>シキ</t>
    </rPh>
    <rPh sb="3" eb="4">
      <t>ベン</t>
    </rPh>
    <rPh sb="5" eb="7">
      <t>ゼンカイ</t>
    </rPh>
    <phoneticPr fontId="1"/>
  </si>
  <si>
    <t>仕切弁（全開）</t>
    <rPh sb="0" eb="2">
      <t>シキ</t>
    </rPh>
    <rPh sb="2" eb="3">
      <t>ベン</t>
    </rPh>
    <rPh sb="4" eb="6">
      <t>ゼンカイ</t>
    </rPh>
    <phoneticPr fontId="1"/>
  </si>
  <si>
    <t>（ゲート弁、スルース弁も同等）</t>
    <rPh sb="4" eb="5">
      <t>ベン</t>
    </rPh>
    <rPh sb="10" eb="11">
      <t>ベン</t>
    </rPh>
    <rPh sb="12" eb="14">
      <t>ドウトウ</t>
    </rPh>
    <phoneticPr fontId="1"/>
  </si>
  <si>
    <t>・流体が液体（主に水、汚泥）の配管、弁類等の損失ヘッド[m]を計算する。</t>
    <rPh sb="1" eb="3">
      <t>リュウタイ</t>
    </rPh>
    <rPh sb="4" eb="6">
      <t>エキタイ</t>
    </rPh>
    <rPh sb="7" eb="8">
      <t>オモ</t>
    </rPh>
    <rPh sb="9" eb="10">
      <t>ミズ</t>
    </rPh>
    <rPh sb="11" eb="13">
      <t>オデイ</t>
    </rPh>
    <rPh sb="15" eb="17">
      <t>ハイカン</t>
    </rPh>
    <rPh sb="18" eb="19">
      <t>ベン</t>
    </rPh>
    <rPh sb="19" eb="20">
      <t>ルイ</t>
    </rPh>
    <rPh sb="20" eb="21">
      <t>トウ</t>
    </rPh>
    <rPh sb="22" eb="24">
      <t>ソンシツ</t>
    </rPh>
    <rPh sb="31" eb="33">
      <t>ケイサン</t>
    </rPh>
    <phoneticPr fontId="1"/>
  </si>
  <si>
    <t>50以下</t>
    <rPh sb="2" eb="4">
      <t>イカ</t>
    </rPh>
    <phoneticPr fontId="1"/>
  </si>
  <si>
    <t>50超</t>
    <rPh sb="2" eb="3">
      <t>コ</t>
    </rPh>
    <phoneticPr fontId="1"/>
  </si>
  <si>
    <t>　(4)急拡大</t>
    <rPh sb="4" eb="5">
      <t>キュウ</t>
    </rPh>
    <rPh sb="5" eb="6">
      <t>カク</t>
    </rPh>
    <rPh sb="6" eb="7">
      <t>ダイ</t>
    </rPh>
    <phoneticPr fontId="1"/>
  </si>
  <si>
    <t>　(5)漸拡大</t>
    <rPh sb="4" eb="5">
      <t>ザン</t>
    </rPh>
    <rPh sb="5" eb="6">
      <t>カク</t>
    </rPh>
    <rPh sb="6" eb="7">
      <t>ダイ</t>
    </rPh>
    <phoneticPr fontId="1"/>
  </si>
  <si>
    <t>　(6)急縮小</t>
    <rPh sb="4" eb="5">
      <t>キュウ</t>
    </rPh>
    <rPh sb="5" eb="7">
      <t>シュクショウ</t>
    </rPh>
    <phoneticPr fontId="1"/>
  </si>
  <si>
    <t>　(7)漸縮小</t>
    <rPh sb="4" eb="5">
      <t>ザン</t>
    </rPh>
    <rPh sb="5" eb="7">
      <t>シュクショウ</t>
    </rPh>
    <phoneticPr fontId="1"/>
  </si>
  <si>
    <t>急縮小</t>
    <rPh sb="0" eb="1">
      <t>キュウ</t>
    </rPh>
    <rPh sb="1" eb="3">
      <t>シュクショウ</t>
    </rPh>
    <phoneticPr fontId="1"/>
  </si>
  <si>
    <t>漸縮小</t>
    <rPh sb="0" eb="1">
      <t>ザン</t>
    </rPh>
    <rPh sb="1" eb="3">
      <t>シュクショウ</t>
    </rPh>
    <rPh sb="2" eb="3">
      <t>ショウ</t>
    </rPh>
    <phoneticPr fontId="1"/>
  </si>
  <si>
    <t>*****弁（自由入力）</t>
    <rPh sb="5" eb="6">
      <t>ベン</t>
    </rPh>
    <rPh sb="7" eb="9">
      <t>ジユウ</t>
    </rPh>
    <rPh sb="9" eb="11">
      <t>ニュウリョク</t>
    </rPh>
    <phoneticPr fontId="1"/>
  </si>
  <si>
    <t>h = f ・V1^2/2g</t>
    <phoneticPr fontId="1"/>
  </si>
  <si>
    <t>⑥ボール弁（レデュースドボア/全開）</t>
    <rPh sb="4" eb="5">
      <t>ベン</t>
    </rPh>
    <rPh sb="15" eb="17">
      <t>ゼンカイ</t>
    </rPh>
    <phoneticPr fontId="1"/>
  </si>
  <si>
    <t>25以下</t>
    <rPh sb="2" eb="4">
      <t>イカ</t>
    </rPh>
    <phoneticPr fontId="1"/>
  </si>
  <si>
    <t>f ＝ 0.5</t>
    <phoneticPr fontId="1"/>
  </si>
  <si>
    <t>例）CACやSCS製のねじ込み小型汎用ボール弁</t>
    <rPh sb="0" eb="1">
      <t>レイ</t>
    </rPh>
    <rPh sb="9" eb="10">
      <t>セイ</t>
    </rPh>
    <rPh sb="13" eb="14">
      <t>コ</t>
    </rPh>
    <rPh sb="15" eb="17">
      <t>コガタ</t>
    </rPh>
    <rPh sb="17" eb="19">
      <t>ハンヨウ</t>
    </rPh>
    <rPh sb="22" eb="23">
      <t>ベン</t>
    </rPh>
    <phoneticPr fontId="1"/>
  </si>
  <si>
    <t>　　（ボア径が小さいもの）</t>
    <rPh sb="5" eb="6">
      <t>ケイ</t>
    </rPh>
    <rPh sb="7" eb="8">
      <t>チイ</t>
    </rPh>
    <phoneticPr fontId="1"/>
  </si>
  <si>
    <t>⑦ボール弁（フルボア相当/全開）</t>
    <rPh sb="4" eb="5">
      <t>ベン</t>
    </rPh>
    <rPh sb="10" eb="12">
      <t>ソウトウ</t>
    </rPh>
    <rPh sb="13" eb="15">
      <t>ゼンカイ</t>
    </rPh>
    <phoneticPr fontId="1"/>
  </si>
  <si>
    <t>⑧グローブ弁（全開）</t>
    <rPh sb="5" eb="6">
      <t>ベン</t>
    </rPh>
    <rPh sb="7" eb="9">
      <t>ゼンカイ</t>
    </rPh>
    <phoneticPr fontId="1"/>
  </si>
  <si>
    <t>⑨ダイヤフラム弁（全開）</t>
    <rPh sb="7" eb="8">
      <t>ベン</t>
    </rPh>
    <rPh sb="9" eb="11">
      <t>ゼンカイ</t>
    </rPh>
    <phoneticPr fontId="1"/>
  </si>
  <si>
    <t>ボール弁（レデュースドボア/全開）</t>
    <phoneticPr fontId="1"/>
  </si>
  <si>
    <t>ボール弁（フルボア相当/全開）</t>
    <rPh sb="9" eb="11">
      <t>ソウトウ</t>
    </rPh>
    <phoneticPr fontId="1"/>
  </si>
  <si>
    <t>グローブ弁（全開）</t>
    <rPh sb="6" eb="8">
      <t>ゼンカイ</t>
    </rPh>
    <phoneticPr fontId="1"/>
  </si>
  <si>
    <t>ダイヤフラム弁（全開）</t>
    <rPh sb="8" eb="10">
      <t>ゼンカイ</t>
    </rPh>
    <phoneticPr fontId="1"/>
  </si>
  <si>
    <t>PVC製ボール弁（全開）</t>
    <rPh sb="3" eb="4">
      <t>セイ</t>
    </rPh>
    <rPh sb="7" eb="8">
      <t>ベン</t>
    </rPh>
    <rPh sb="9" eb="11">
      <t>ゼンカイ</t>
    </rPh>
    <phoneticPr fontId="1"/>
  </si>
  <si>
    <t>⑩PVC製ゲート弁（全開）</t>
    <rPh sb="4" eb="5">
      <t>セイ</t>
    </rPh>
    <rPh sb="8" eb="9">
      <t>ベン</t>
    </rPh>
    <rPh sb="10" eb="12">
      <t>ゼンカイ</t>
    </rPh>
    <phoneticPr fontId="1"/>
  </si>
  <si>
    <t>⑪PVC製ボール弁（全開）</t>
    <rPh sb="4" eb="5">
      <t>セイ</t>
    </rPh>
    <rPh sb="8" eb="9">
      <t>ベン</t>
    </rPh>
    <rPh sb="10" eb="12">
      <t>ゼンカイ</t>
    </rPh>
    <phoneticPr fontId="1"/>
  </si>
  <si>
    <t>PVC製ゲート弁（全開）</t>
    <rPh sb="3" eb="4">
      <t>セイ</t>
    </rPh>
    <rPh sb="7" eb="8">
      <t>ベン</t>
    </rPh>
    <rPh sb="9" eb="11">
      <t>ゼンカイ</t>
    </rPh>
    <phoneticPr fontId="1"/>
  </si>
  <si>
    <t>f ＝ 10.0</t>
    <phoneticPr fontId="1"/>
  </si>
  <si>
    <t>（例）ティーの直角（90°）分流</t>
    <rPh sb="1" eb="2">
      <t>レイ</t>
    </rPh>
    <rPh sb="7" eb="9">
      <t>チョッカク</t>
    </rPh>
    <rPh sb="14" eb="16">
      <t>ブンリュウリュウロ</t>
    </rPh>
    <phoneticPr fontId="1"/>
  </si>
  <si>
    <t xml:space="preserve"> 直管（鋳鉄管）</t>
    <rPh sb="1" eb="3">
      <t>チョッカン</t>
    </rPh>
    <rPh sb="4" eb="6">
      <t>チュウテツ</t>
    </rPh>
    <rPh sb="6" eb="7">
      <t>カン</t>
    </rPh>
    <phoneticPr fontId="1"/>
  </si>
  <si>
    <t xml:space="preserve"> 直管（鋼管）</t>
    <rPh sb="1" eb="3">
      <t>チョッカン</t>
    </rPh>
    <rPh sb="4" eb="6">
      <t>コウカン</t>
    </rPh>
    <phoneticPr fontId="1"/>
  </si>
  <si>
    <t xml:space="preserve"> 直管（塩ビ管）</t>
    <rPh sb="1" eb="3">
      <t>チョッカン</t>
    </rPh>
    <rPh sb="4" eb="5">
      <t>エン</t>
    </rPh>
    <rPh sb="6" eb="7">
      <t>カン</t>
    </rPh>
    <phoneticPr fontId="1"/>
  </si>
  <si>
    <t xml:space="preserve"> 直管（鋳鉄管/経年劣化）</t>
    <rPh sb="1" eb="3">
      <t>チョッカン</t>
    </rPh>
    <rPh sb="4" eb="6">
      <t>チュウテツ</t>
    </rPh>
    <rPh sb="6" eb="7">
      <t>カン</t>
    </rPh>
    <rPh sb="8" eb="10">
      <t>ケイネン</t>
    </rPh>
    <rPh sb="10" eb="12">
      <t>レッカ</t>
    </rPh>
    <phoneticPr fontId="1"/>
  </si>
  <si>
    <t xml:space="preserve"> 直管（鋼管/経年劣化）</t>
    <rPh sb="1" eb="3">
      <t>チョッカン</t>
    </rPh>
    <rPh sb="4" eb="6">
      <t>コウカン</t>
    </rPh>
    <rPh sb="7" eb="9">
      <t>ケイネン</t>
    </rPh>
    <rPh sb="9" eb="11">
      <t>レッカ</t>
    </rPh>
    <phoneticPr fontId="1"/>
  </si>
  <si>
    <t xml:space="preserve"> 吸込口（突出し）</t>
    <rPh sb="1" eb="3">
      <t>スイコ</t>
    </rPh>
    <rPh sb="3" eb="4">
      <t>グチ</t>
    </rPh>
    <rPh sb="5" eb="7">
      <t>ツキダ</t>
    </rPh>
    <phoneticPr fontId="1"/>
  </si>
  <si>
    <t xml:space="preserve"> 吸込口（角端）</t>
    <rPh sb="1" eb="3">
      <t>スイコ</t>
    </rPh>
    <rPh sb="3" eb="4">
      <t>グチ</t>
    </rPh>
    <rPh sb="5" eb="6">
      <t>カク</t>
    </rPh>
    <rPh sb="6" eb="7">
      <t>タン</t>
    </rPh>
    <phoneticPr fontId="1"/>
  </si>
  <si>
    <t xml:space="preserve"> 吸込口（ベルマウス）</t>
    <rPh sb="1" eb="3">
      <t>スイコ</t>
    </rPh>
    <rPh sb="3" eb="4">
      <t>グチ</t>
    </rPh>
    <phoneticPr fontId="1"/>
  </si>
  <si>
    <t xml:space="preserve"> 曲管（鋼管/90°ロング）</t>
    <rPh sb="1" eb="2">
      <t>マガ</t>
    </rPh>
    <rPh sb="2" eb="3">
      <t>カン</t>
    </rPh>
    <rPh sb="4" eb="6">
      <t>コウカン</t>
    </rPh>
    <phoneticPr fontId="1"/>
  </si>
  <si>
    <t xml:space="preserve"> 曲管（鋼管/90°ショート）</t>
    <rPh sb="1" eb="2">
      <t>マガリ</t>
    </rPh>
    <rPh sb="2" eb="3">
      <t>カン</t>
    </rPh>
    <rPh sb="4" eb="6">
      <t>コウカン</t>
    </rPh>
    <phoneticPr fontId="1"/>
  </si>
  <si>
    <t xml:space="preserve"> 曲管（鋼管/45°）</t>
    <rPh sb="1" eb="2">
      <t>マガ</t>
    </rPh>
    <rPh sb="2" eb="3">
      <t>カン</t>
    </rPh>
    <rPh sb="4" eb="6">
      <t>コウカン</t>
    </rPh>
    <phoneticPr fontId="1"/>
  </si>
  <si>
    <t xml:space="preserve"> 曲管（塩ビ管/90°継手）</t>
    <rPh sb="1" eb="2">
      <t>マガ</t>
    </rPh>
    <rPh sb="2" eb="3">
      <t>カン</t>
    </rPh>
    <rPh sb="4" eb="5">
      <t>エン</t>
    </rPh>
    <rPh sb="6" eb="7">
      <t>カン</t>
    </rPh>
    <rPh sb="11" eb="12">
      <t>ツギ</t>
    </rPh>
    <rPh sb="12" eb="13">
      <t>テ</t>
    </rPh>
    <phoneticPr fontId="1"/>
  </si>
  <si>
    <t xml:space="preserve"> 曲管（塩ビ管/45°継手）</t>
    <rPh sb="1" eb="2">
      <t>マガ</t>
    </rPh>
    <rPh sb="2" eb="3">
      <t>カン</t>
    </rPh>
    <rPh sb="4" eb="5">
      <t>エン</t>
    </rPh>
    <rPh sb="6" eb="7">
      <t>カン</t>
    </rPh>
    <rPh sb="11" eb="12">
      <t>ツギ</t>
    </rPh>
    <rPh sb="12" eb="13">
      <t>テ</t>
    </rPh>
    <phoneticPr fontId="1"/>
  </si>
  <si>
    <t xml:space="preserve"> 曲管（15°）</t>
    <rPh sb="1" eb="2">
      <t>マガ</t>
    </rPh>
    <rPh sb="2" eb="3">
      <t>カン</t>
    </rPh>
    <phoneticPr fontId="1"/>
  </si>
  <si>
    <t xml:space="preserve"> 曲管（22.5°）</t>
    <rPh sb="1" eb="2">
      <t>マガ</t>
    </rPh>
    <rPh sb="2" eb="3">
      <t>カン</t>
    </rPh>
    <phoneticPr fontId="1"/>
  </si>
  <si>
    <t xml:space="preserve"> 曲管（30°）</t>
    <rPh sb="1" eb="2">
      <t>マガ</t>
    </rPh>
    <rPh sb="2" eb="3">
      <t>カン</t>
    </rPh>
    <phoneticPr fontId="1"/>
  </si>
  <si>
    <t xml:space="preserve"> 曲管（45°）</t>
    <rPh sb="1" eb="2">
      <t>マガ</t>
    </rPh>
    <rPh sb="2" eb="3">
      <t>カン</t>
    </rPh>
    <phoneticPr fontId="1"/>
  </si>
  <si>
    <t xml:space="preserve"> 曲管（60°）</t>
    <rPh sb="1" eb="2">
      <t>マガ</t>
    </rPh>
    <rPh sb="2" eb="3">
      <t>カン</t>
    </rPh>
    <phoneticPr fontId="1"/>
  </si>
  <si>
    <t xml:space="preserve"> 曲管（90°）</t>
    <rPh sb="1" eb="2">
      <t>マガ</t>
    </rPh>
    <rPh sb="2" eb="3">
      <t>カン</t>
    </rPh>
    <phoneticPr fontId="1"/>
  </si>
  <si>
    <t xml:space="preserve"> 屈折管（15°）</t>
    <rPh sb="1" eb="3">
      <t>クッセツ</t>
    </rPh>
    <rPh sb="3" eb="4">
      <t>カン</t>
    </rPh>
    <phoneticPr fontId="1"/>
  </si>
  <si>
    <t xml:space="preserve"> 屈折管（30°）</t>
    <rPh sb="1" eb="3">
      <t>クッセツ</t>
    </rPh>
    <rPh sb="3" eb="4">
      <t>カン</t>
    </rPh>
    <phoneticPr fontId="1"/>
  </si>
  <si>
    <t xml:space="preserve"> 屈折管（45°）</t>
    <rPh sb="1" eb="3">
      <t>クッセツ</t>
    </rPh>
    <rPh sb="3" eb="4">
      <t>カン</t>
    </rPh>
    <phoneticPr fontId="1"/>
  </si>
  <si>
    <t xml:space="preserve"> 屈折管（60°）</t>
    <rPh sb="1" eb="3">
      <t>クッセツ</t>
    </rPh>
    <rPh sb="3" eb="4">
      <t>カン</t>
    </rPh>
    <phoneticPr fontId="1"/>
  </si>
  <si>
    <t xml:space="preserve"> 屈折管（90°）</t>
    <rPh sb="1" eb="3">
      <t>クッセツ</t>
    </rPh>
    <rPh sb="3" eb="4">
      <t>カン</t>
    </rPh>
    <phoneticPr fontId="1"/>
  </si>
  <si>
    <t xml:space="preserve"> 屈折管（120°）</t>
    <rPh sb="1" eb="3">
      <t>クッセツ</t>
    </rPh>
    <rPh sb="3" eb="4">
      <t>カン</t>
    </rPh>
    <phoneticPr fontId="1"/>
  </si>
  <si>
    <t xml:space="preserve"> 急拡大</t>
    <rPh sb="1" eb="2">
      <t>キュウ</t>
    </rPh>
    <rPh sb="2" eb="3">
      <t>カク</t>
    </rPh>
    <rPh sb="3" eb="4">
      <t>ダイ</t>
    </rPh>
    <phoneticPr fontId="1"/>
  </si>
  <si>
    <t xml:space="preserve"> 漸拡大</t>
    <rPh sb="1" eb="2">
      <t>ザン</t>
    </rPh>
    <rPh sb="2" eb="4">
      <t>カクダイ</t>
    </rPh>
    <phoneticPr fontId="1"/>
  </si>
  <si>
    <t xml:space="preserve"> 急縮小</t>
    <rPh sb="1" eb="2">
      <t>キュウ</t>
    </rPh>
    <rPh sb="2" eb="4">
      <t>シュクショウ</t>
    </rPh>
    <rPh sb="3" eb="4">
      <t>ショウ</t>
    </rPh>
    <phoneticPr fontId="1"/>
  </si>
  <si>
    <t xml:space="preserve"> 漸縮小</t>
    <rPh sb="1" eb="2">
      <t>ザン</t>
    </rPh>
    <rPh sb="2" eb="4">
      <t>シュクショウ</t>
    </rPh>
    <rPh sb="3" eb="4">
      <t>ショウ</t>
    </rPh>
    <phoneticPr fontId="1"/>
  </si>
  <si>
    <t xml:space="preserve"> 放流口</t>
    <rPh sb="1" eb="3">
      <t>ホウリュウ</t>
    </rPh>
    <rPh sb="3" eb="4">
      <t>グチ</t>
    </rPh>
    <phoneticPr fontId="1"/>
  </si>
  <si>
    <t xml:space="preserve"> 逆止弁（スイング式）</t>
    <rPh sb="1" eb="3">
      <t>ギャクシ</t>
    </rPh>
    <rPh sb="3" eb="4">
      <t>ベン</t>
    </rPh>
    <rPh sb="9" eb="10">
      <t>シキ</t>
    </rPh>
    <phoneticPr fontId="1"/>
  </si>
  <si>
    <t xml:space="preserve"> 逆止弁（急閉・緩閉式）</t>
    <rPh sb="1" eb="4">
      <t>ギャクシベン</t>
    </rPh>
    <phoneticPr fontId="1"/>
  </si>
  <si>
    <t xml:space="preserve"> 仕切弁（全開）</t>
    <rPh sb="1" eb="3">
      <t>シキ</t>
    </rPh>
    <rPh sb="3" eb="4">
      <t>ベン</t>
    </rPh>
    <rPh sb="5" eb="7">
      <t>ゼンカイ</t>
    </rPh>
    <phoneticPr fontId="1"/>
  </si>
  <si>
    <t xml:space="preserve"> バタフライ弁（全開）</t>
    <rPh sb="6" eb="7">
      <t>ベン</t>
    </rPh>
    <rPh sb="8" eb="10">
      <t>ゼンカイ</t>
    </rPh>
    <phoneticPr fontId="1"/>
  </si>
  <si>
    <t xml:space="preserve"> ボール弁（レデュースドボア/全開）</t>
    <phoneticPr fontId="1"/>
  </si>
  <si>
    <t xml:space="preserve"> ボール弁（フルボア相当/全開）</t>
    <rPh sb="10" eb="12">
      <t>ソウトウ</t>
    </rPh>
    <phoneticPr fontId="1"/>
  </si>
  <si>
    <t xml:space="preserve"> グローブ弁（全開）</t>
    <phoneticPr fontId="1"/>
  </si>
  <si>
    <t xml:space="preserve"> ダイヤフラム弁（全開）</t>
    <phoneticPr fontId="1"/>
  </si>
  <si>
    <t xml:space="preserve"> PVC製ゲート弁（全開）</t>
    <rPh sb="4" eb="5">
      <t>セイ</t>
    </rPh>
    <phoneticPr fontId="1"/>
  </si>
  <si>
    <t xml:space="preserve"> PVC製ボール弁（全開）</t>
    <rPh sb="4" eb="5">
      <t>セイ</t>
    </rPh>
    <phoneticPr fontId="1"/>
  </si>
  <si>
    <t xml:space="preserve"> *****弁（自由入力）</t>
    <rPh sb="6" eb="7">
      <t>ベン</t>
    </rPh>
    <rPh sb="8" eb="10">
      <t>ジユウ</t>
    </rPh>
    <rPh sb="10" eb="12">
      <t>ニュウリョク</t>
    </rPh>
    <phoneticPr fontId="1"/>
  </si>
  <si>
    <t>青色セルは、自動計算セルです。</t>
    <rPh sb="0" eb="1">
      <t>アオ</t>
    </rPh>
    <rPh sb="1" eb="2">
      <t>イロ</t>
    </rPh>
    <rPh sb="6" eb="8">
      <t>ジドウ</t>
    </rPh>
    <rPh sb="8" eb="10">
      <t>ケイサン</t>
    </rPh>
    <phoneticPr fontId="1"/>
  </si>
  <si>
    <t>黄色セルは、要入力セルです。</t>
    <rPh sb="0" eb="2">
      <t>キイロ</t>
    </rPh>
    <rPh sb="6" eb="7">
      <t>ヨウ</t>
    </rPh>
    <rPh sb="7" eb="9">
      <t>ニュウリョク</t>
    </rPh>
    <phoneticPr fontId="1"/>
  </si>
  <si>
    <t>列の順番を変えたり、列挿入・列削除は行わないでください。</t>
    <rPh sb="0" eb="1">
      <t>レツ</t>
    </rPh>
    <rPh sb="2" eb="4">
      <t>ジュンバン</t>
    </rPh>
    <rPh sb="5" eb="6">
      <t>カ</t>
    </rPh>
    <rPh sb="10" eb="11">
      <t>レツ</t>
    </rPh>
    <rPh sb="11" eb="13">
      <t>ソウニュウ</t>
    </rPh>
    <rPh sb="14" eb="15">
      <t>レツ</t>
    </rPh>
    <rPh sb="15" eb="17">
      <t>サクジョ</t>
    </rPh>
    <rPh sb="18" eb="19">
      <t>オコナ</t>
    </rPh>
    <phoneticPr fontId="1"/>
  </si>
  <si>
    <t>（汚泥補正後の損失ヘッド）＝α ×（損失ヘッド計算結果）</t>
    <rPh sb="1" eb="3">
      <t>オデイ</t>
    </rPh>
    <rPh sb="3" eb="5">
      <t>ホセイ</t>
    </rPh>
    <rPh sb="5" eb="6">
      <t>ゴ</t>
    </rPh>
    <rPh sb="7" eb="9">
      <t>ソンシツ</t>
    </rPh>
    <rPh sb="18" eb="20">
      <t>ソンシツ</t>
    </rPh>
    <rPh sb="23" eb="25">
      <t>ケイサン</t>
    </rPh>
    <rPh sb="25" eb="27">
      <t>ケッカ</t>
    </rPh>
    <phoneticPr fontId="1"/>
  </si>
  <si>
    <t>汚泥濃度Ｃ[%]</t>
    <rPh sb="0" eb="2">
      <t>オデイ</t>
    </rPh>
    <rPh sb="2" eb="4">
      <t>ノウド</t>
    </rPh>
    <phoneticPr fontId="1"/>
  </si>
  <si>
    <t>■配管損失計算書</t>
    <rPh sb="1" eb="3">
      <t>ハイカン</t>
    </rPh>
    <rPh sb="3" eb="5">
      <t>ソンシツ</t>
    </rPh>
    <rPh sb="5" eb="8">
      <t>ケイサンショ</t>
    </rPh>
    <phoneticPr fontId="1"/>
  </si>
  <si>
    <t>外部提出時は、「印刷シート」に出力して印刷シートのみ提出してください（ソフト本体ごと渡さないでください）。</t>
    <rPh sb="0" eb="2">
      <t>ガイブ</t>
    </rPh>
    <rPh sb="2" eb="4">
      <t>テイシュツ</t>
    </rPh>
    <rPh sb="4" eb="5">
      <t>ジ</t>
    </rPh>
    <rPh sb="8" eb="10">
      <t>インサツ</t>
    </rPh>
    <rPh sb="15" eb="17">
      <t>シュツリョク</t>
    </rPh>
    <rPh sb="19" eb="21">
      <t>インサツ</t>
    </rPh>
    <rPh sb="26" eb="28">
      <t>テイシュツ</t>
    </rPh>
    <rPh sb="38" eb="40">
      <t>ホンタイ</t>
    </rPh>
    <rPh sb="42" eb="43">
      <t>ワタ</t>
    </rPh>
    <phoneticPr fontId="1"/>
  </si>
  <si>
    <t>マクロを使う場合は「形状選択ツール」が使用できます。マクロを使わない場合は「形状テンプレート」から手動コピーしてください。</t>
    <rPh sb="4" eb="5">
      <t>ツカ</t>
    </rPh>
    <rPh sb="6" eb="8">
      <t>バアイ</t>
    </rPh>
    <rPh sb="10" eb="12">
      <t>ケイジョウ</t>
    </rPh>
    <rPh sb="12" eb="14">
      <t>センタク</t>
    </rPh>
    <rPh sb="19" eb="21">
      <t>シヨウ</t>
    </rPh>
    <rPh sb="30" eb="31">
      <t>ツカ</t>
    </rPh>
    <rPh sb="34" eb="36">
      <t>バアイ</t>
    </rPh>
    <rPh sb="38" eb="40">
      <t>ケイジョウ</t>
    </rPh>
    <rPh sb="49" eb="51">
      <t>シュドウ</t>
    </rPh>
    <phoneticPr fontId="1"/>
  </si>
  <si>
    <t>①行挿入</t>
    <rPh sb="1" eb="2">
      <t>ギョウ</t>
    </rPh>
    <rPh sb="2" eb="4">
      <t>ソウニュウ</t>
    </rPh>
    <phoneticPr fontId="1"/>
  </si>
  <si>
    <t>②行削除</t>
    <rPh sb="1" eb="2">
      <t>ギョウ</t>
    </rPh>
    <rPh sb="2" eb="4">
      <t>サクジョ</t>
    </rPh>
    <phoneticPr fontId="1"/>
  </si>
  <si>
    <t>アクティブシートの選択された行を削除します。</t>
    <rPh sb="9" eb="11">
      <t>センタク</t>
    </rPh>
    <rPh sb="14" eb="15">
      <t>ギョウ</t>
    </rPh>
    <rPh sb="16" eb="18">
      <t>サクジョ</t>
    </rPh>
    <phoneticPr fontId="1"/>
  </si>
  <si>
    <t>複数行選択時は確認メッセージが表示されます。</t>
    <rPh sb="0" eb="3">
      <t>フクスウギョウ</t>
    </rPh>
    <rPh sb="3" eb="5">
      <t>センタク</t>
    </rPh>
    <rPh sb="5" eb="6">
      <t>ジ</t>
    </rPh>
    <rPh sb="7" eb="9">
      <t>カクニン</t>
    </rPh>
    <rPh sb="15" eb="17">
      <t>ヒョウジ</t>
    </rPh>
    <phoneticPr fontId="1"/>
  </si>
  <si>
    <t>③閉じる</t>
    <rPh sb="1" eb="2">
      <t>ト</t>
    </rPh>
    <phoneticPr fontId="1"/>
  </si>
  <si>
    <t>アクティブシートの選択された行に、選択された形状を行挿入してコピーします。</t>
    <rPh sb="9" eb="11">
      <t>センタク</t>
    </rPh>
    <rPh sb="14" eb="15">
      <t>ギョウ</t>
    </rPh>
    <rPh sb="17" eb="19">
      <t>センタク</t>
    </rPh>
    <rPh sb="22" eb="24">
      <t>ケイジョウ</t>
    </rPh>
    <rPh sb="25" eb="26">
      <t>ギョウ</t>
    </rPh>
    <phoneticPr fontId="1"/>
  </si>
  <si>
    <t>■改訂履歴</t>
    <rPh sb="1" eb="3">
      <t>カイテイ</t>
    </rPh>
    <rPh sb="3" eb="5">
      <t>リレキ</t>
    </rPh>
    <phoneticPr fontId="1"/>
  </si>
  <si>
    <t>新シートの名前は「印刷（元のシート名）」です。</t>
    <rPh sb="0" eb="1">
      <t>シン</t>
    </rPh>
    <rPh sb="5" eb="7">
      <t>ナマエ</t>
    </rPh>
    <rPh sb="9" eb="11">
      <t>インサツ</t>
    </rPh>
    <rPh sb="12" eb="13">
      <t>モト</t>
    </rPh>
    <rPh sb="17" eb="18">
      <t>メイ</t>
    </rPh>
    <phoneticPr fontId="1"/>
  </si>
  <si>
    <t>同名シートがある場合、上書きされます。</t>
    <rPh sb="0" eb="2">
      <t>ドウメイ</t>
    </rPh>
    <rPh sb="8" eb="10">
      <t>バアイ</t>
    </rPh>
    <rPh sb="11" eb="13">
      <t>ウワガ</t>
    </rPh>
    <phoneticPr fontId="1"/>
  </si>
  <si>
    <t>% （清水の場合 0%）</t>
    <rPh sb="3" eb="5">
      <t>セイスイ</t>
    </rPh>
    <rPh sb="6" eb="8">
      <t>バアイ</t>
    </rPh>
    <phoneticPr fontId="1"/>
  </si>
  <si>
    <t>同名シートがない場合、新規シートが作成されます。</t>
    <rPh sb="0" eb="2">
      <t>ドウメイ</t>
    </rPh>
    <rPh sb="8" eb="10">
      <t>バアイ</t>
    </rPh>
    <rPh sb="11" eb="13">
      <t>シンキ</t>
    </rPh>
    <rPh sb="17" eb="19">
      <t>サクセイ</t>
    </rPh>
    <phoneticPr fontId="1"/>
  </si>
  <si>
    <t>（清水の場合 1.00）</t>
    <phoneticPr fontId="1"/>
  </si>
  <si>
    <t>行番号10行目以降から入力してください。行番号1～9行目のの行挿入・行削除は行わないでください。</t>
    <rPh sb="26" eb="27">
      <t>ギョウ</t>
    </rPh>
    <rPh sb="27" eb="28">
      <t>メ</t>
    </rPh>
    <rPh sb="34" eb="35">
      <t>ギョウ</t>
    </rPh>
    <rPh sb="35" eb="37">
      <t>サクジョ</t>
    </rPh>
    <rPh sb="38" eb="39">
      <t>オコナ</t>
    </rPh>
    <phoneticPr fontId="1"/>
  </si>
  <si>
    <r>
      <t>[m</t>
    </r>
    <r>
      <rPr>
        <vertAlign val="superscript"/>
        <sz val="10"/>
        <rFont val="Yu Gothic UI"/>
        <family val="3"/>
        <charset val="128"/>
        <scheme val="minor"/>
      </rPr>
      <t>3</t>
    </r>
    <r>
      <rPr>
        <sz val="10"/>
        <rFont val="Yu Gothic UI"/>
        <family val="3"/>
        <charset val="128"/>
        <scheme val="minor"/>
      </rPr>
      <t>/h]</t>
    </r>
    <phoneticPr fontId="1"/>
  </si>
  <si>
    <r>
      <t>[m</t>
    </r>
    <r>
      <rPr>
        <vertAlign val="superscript"/>
        <sz val="10"/>
        <rFont val="Yu Gothic UI"/>
        <family val="3"/>
        <charset val="128"/>
        <scheme val="minor"/>
      </rPr>
      <t>3</t>
    </r>
    <r>
      <rPr>
        <sz val="10"/>
        <rFont val="Yu Gothic UI"/>
        <family val="3"/>
        <charset val="128"/>
        <scheme val="minor"/>
      </rPr>
      <t>/min]</t>
    </r>
    <phoneticPr fontId="1"/>
  </si>
  <si>
    <t>直管（樹脂管）</t>
    <rPh sb="0" eb="2">
      <t>チョッカン</t>
    </rPh>
    <rPh sb="3" eb="5">
      <t>ジュシ</t>
    </rPh>
    <rPh sb="5" eb="6">
      <t>カン</t>
    </rPh>
    <phoneticPr fontId="1"/>
  </si>
  <si>
    <t xml:space="preserve"> 直管（樹脂管）</t>
    <rPh sb="1" eb="3">
      <t>チョッカン</t>
    </rPh>
    <rPh sb="4" eb="6">
      <t>ジュシ</t>
    </rPh>
    <rPh sb="6" eb="7">
      <t>カン</t>
    </rPh>
    <phoneticPr fontId="1"/>
  </si>
  <si>
    <t>①印刷シートを作成</t>
    <rPh sb="1" eb="3">
      <t>インサツ</t>
    </rPh>
    <rPh sb="7" eb="9">
      <t>サクセイ</t>
    </rPh>
    <phoneticPr fontId="1"/>
  </si>
  <si>
    <t>印刷設定は自動で設定されます。</t>
    <rPh sb="0" eb="2">
      <t>インサツ</t>
    </rPh>
    <rPh sb="2" eb="4">
      <t>セッテイ</t>
    </rPh>
    <rPh sb="5" eb="7">
      <t>ジドウ</t>
    </rPh>
    <rPh sb="8" eb="10">
      <t>セッテイ</t>
    </rPh>
    <phoneticPr fontId="1"/>
  </si>
  <si>
    <t>上書きの場合、印刷設定は既存のものが利用されます。</t>
    <rPh sb="0" eb="2">
      <t>ウワガ</t>
    </rPh>
    <rPh sb="4" eb="6">
      <t>バアイ</t>
    </rPh>
    <rPh sb="7" eb="9">
      <t>インサツ</t>
    </rPh>
    <rPh sb="9" eb="11">
      <t>セッテイ</t>
    </rPh>
    <rPh sb="12" eb="14">
      <t>キゾン</t>
    </rPh>
    <rPh sb="18" eb="20">
      <t>リヨウ</t>
    </rPh>
    <phoneticPr fontId="1"/>
  </si>
  <si>
    <t>小さな機能を入れてます。</t>
    <rPh sb="0" eb="1">
      <t>チイ</t>
    </rPh>
    <rPh sb="3" eb="5">
      <t>キノウ</t>
    </rPh>
    <rPh sb="6" eb="7">
      <t>イ</t>
    </rPh>
    <phoneticPr fontId="1"/>
  </si>
  <si>
    <t>配管損失の合計(Ha)　[m]</t>
    <rPh sb="0" eb="2">
      <t>ハイカン</t>
    </rPh>
    <rPh sb="2" eb="4">
      <t>ソンシツ</t>
    </rPh>
    <rPh sb="5" eb="7">
      <t>ゴウケイ</t>
    </rPh>
    <phoneticPr fontId="1"/>
  </si>
  <si>
    <t>その他の損失(Hb)　[m]</t>
    <rPh sb="2" eb="3">
      <t>タ</t>
    </rPh>
    <rPh sb="4" eb="6">
      <t>ソンシツ</t>
    </rPh>
    <phoneticPr fontId="1"/>
  </si>
  <si>
    <t>配管損失の合計</t>
    <rPh sb="0" eb="2">
      <t>ハイカン</t>
    </rPh>
    <rPh sb="2" eb="4">
      <t>ソンシツ</t>
    </rPh>
    <rPh sb="5" eb="7">
      <t>ゴウケイ</t>
    </rPh>
    <phoneticPr fontId="1"/>
  </si>
  <si>
    <t xml:space="preserve">  汚泥補正係数α：</t>
    <phoneticPr fontId="1"/>
  </si>
  <si>
    <t>セット</t>
    <phoneticPr fontId="1"/>
  </si>
  <si>
    <t>&gt;その他の損失</t>
    <rPh sb="3" eb="4">
      <t>タ</t>
    </rPh>
    <rPh sb="5" eb="7">
      <t>ソンシツ</t>
    </rPh>
    <phoneticPr fontId="1"/>
  </si>
  <si>
    <t>&gt;実揚程</t>
    <rPh sb="1" eb="2">
      <t>ジツ</t>
    </rPh>
    <rPh sb="2" eb="4">
      <t>ヨウテイ</t>
    </rPh>
    <phoneticPr fontId="1"/>
  </si>
  <si>
    <t>&gt;必要揚程</t>
    <rPh sb="1" eb="3">
      <t>ヒツヨウ</t>
    </rPh>
    <rPh sb="3" eb="5">
      <t>ヨウテイ</t>
    </rPh>
    <phoneticPr fontId="1"/>
  </si>
  <si>
    <t>数</t>
    <rPh sb="0" eb="1">
      <t>スウ</t>
    </rPh>
    <phoneticPr fontId="1"/>
  </si>
  <si>
    <t>PVC製ゲート弁、PVC製ボール弁を追加</t>
    <rPh sb="3" eb="4">
      <t>セイ</t>
    </rPh>
    <rPh sb="7" eb="8">
      <t>ベン</t>
    </rPh>
    <rPh sb="12" eb="13">
      <t>セイ</t>
    </rPh>
    <rPh sb="16" eb="17">
      <t>ベン</t>
    </rPh>
    <rPh sb="18" eb="20">
      <t>ツイカ</t>
    </rPh>
    <phoneticPr fontId="1"/>
  </si>
  <si>
    <t>フォントをMSゴシックから、Yu Gothic UIに変更</t>
    <rPh sb="27" eb="29">
      <t>ヘンコウ</t>
    </rPh>
    <phoneticPr fontId="1"/>
  </si>
  <si>
    <t>Ver.0.8</t>
    <phoneticPr fontId="1"/>
  </si>
  <si>
    <t>Ver.0.81</t>
    <phoneticPr fontId="1"/>
  </si>
  <si>
    <t>Ver.0.82</t>
    <phoneticPr fontId="1"/>
  </si>
  <si>
    <t>説明欄</t>
    <rPh sb="0" eb="2">
      <t>セツメイ</t>
    </rPh>
    <rPh sb="2" eb="3">
      <t>ラン</t>
    </rPh>
    <phoneticPr fontId="1"/>
  </si>
  <si>
    <t>検索欄</t>
    <rPh sb="0" eb="2">
      <t>ケンサク</t>
    </rPh>
    <rPh sb="2" eb="3">
      <t>ラン</t>
    </rPh>
    <phoneticPr fontId="1"/>
  </si>
  <si>
    <t>テーブル欄（コピーされる欄）</t>
    <rPh sb="4" eb="5">
      <t>ラン</t>
    </rPh>
    <rPh sb="12" eb="13">
      <t>ラン</t>
    </rPh>
    <phoneticPr fontId="1"/>
  </si>
  <si>
    <t>区分</t>
    <rPh sb="0" eb="2">
      <t>クブン</t>
    </rPh>
    <phoneticPr fontId="1"/>
  </si>
  <si>
    <t>部品名</t>
    <rPh sb="0" eb="2">
      <t>ブヒン</t>
    </rPh>
    <rPh sb="2" eb="3">
      <t>メイ</t>
    </rPh>
    <phoneticPr fontId="1"/>
  </si>
  <si>
    <t>部品</t>
    <rPh sb="0" eb="2">
      <t>ブヒン</t>
    </rPh>
    <phoneticPr fontId="1"/>
  </si>
  <si>
    <t>入力シートから、印刷シートを作成します。</t>
    <rPh sb="0" eb="2">
      <t>ニュウリョク</t>
    </rPh>
    <rPh sb="8" eb="10">
      <t>インサツ</t>
    </rPh>
    <rPh sb="14" eb="16">
      <t>サクセイ</t>
    </rPh>
    <phoneticPr fontId="1"/>
  </si>
  <si>
    <t>印刷シートを作成します。内容は入力シートからコピーされます。</t>
    <rPh sb="0" eb="2">
      <t>インサツ</t>
    </rPh>
    <rPh sb="6" eb="8">
      <t>サクセイ</t>
    </rPh>
    <rPh sb="12" eb="14">
      <t>ナイヨウ</t>
    </rPh>
    <rPh sb="15" eb="17">
      <t>ニュウリョク</t>
    </rPh>
    <phoneticPr fontId="1"/>
  </si>
  <si>
    <t>Ver.0.83</t>
    <phoneticPr fontId="1"/>
  </si>
  <si>
    <t>印刷シートからPDFを作成します。</t>
    <rPh sb="0" eb="2">
      <t>インサツ</t>
    </rPh>
    <rPh sb="11" eb="13">
      <t>サクセイ</t>
    </rPh>
    <phoneticPr fontId="1"/>
  </si>
  <si>
    <t>同名ファイルがある場合、上書きするか、別名で保存するか選べます。</t>
    <rPh sb="0" eb="2">
      <t>ドウメイ</t>
    </rPh>
    <rPh sb="9" eb="11">
      <t>バアイ</t>
    </rPh>
    <rPh sb="12" eb="14">
      <t>ウワガ</t>
    </rPh>
    <rPh sb="19" eb="21">
      <t>ベツメイ</t>
    </rPh>
    <rPh sb="22" eb="24">
      <t>ホゾン</t>
    </rPh>
    <rPh sb="27" eb="28">
      <t>エラ</t>
    </rPh>
    <phoneticPr fontId="1"/>
  </si>
  <si>
    <t>３．PDF（PDF出力ツール）</t>
    <rPh sb="9" eb="11">
      <t>シュツリョク</t>
    </rPh>
    <phoneticPr fontId="1"/>
  </si>
  <si>
    <t>２．印刷シート（印刷シート作成ツール）</t>
    <rPh sb="2" eb="4">
      <t>インサツ</t>
    </rPh>
    <rPh sb="8" eb="10">
      <t>インサツ</t>
    </rPh>
    <rPh sb="13" eb="15">
      <t>サクセイ</t>
    </rPh>
    <phoneticPr fontId="1"/>
  </si>
  <si>
    <t>４．その他機能（その他機能ツール）</t>
    <rPh sb="4" eb="5">
      <t>タ</t>
    </rPh>
    <rPh sb="5" eb="7">
      <t>キノウ</t>
    </rPh>
    <rPh sb="10" eb="11">
      <t>タ</t>
    </rPh>
    <rPh sb="11" eb="13">
      <t>キノウ</t>
    </rPh>
    <phoneticPr fontId="1"/>
  </si>
  <si>
    <t>本シートの内容が、入力シートに書式・計算式ごと行コピーされます。</t>
    <rPh sb="0" eb="1">
      <t>ホン</t>
    </rPh>
    <rPh sb="5" eb="7">
      <t>ナイヨウ</t>
    </rPh>
    <rPh sb="9" eb="11">
      <t>ニュウリョク</t>
    </rPh>
    <rPh sb="15" eb="17">
      <t>ショシキ</t>
    </rPh>
    <rPh sb="18" eb="21">
      <t>ケイサンシキ</t>
    </rPh>
    <rPh sb="23" eb="24">
      <t>ギョウ</t>
    </rPh>
    <phoneticPr fontId="1"/>
  </si>
  <si>
    <t>計算式や値は本シートに記載されています。</t>
    <rPh sb="0" eb="3">
      <t>ケイサンシキ</t>
    </rPh>
    <rPh sb="4" eb="5">
      <t>アタイ</t>
    </rPh>
    <rPh sb="6" eb="7">
      <t>ホン</t>
    </rPh>
    <rPh sb="11" eb="13">
      <t>キサイ</t>
    </rPh>
    <phoneticPr fontId="1"/>
  </si>
  <si>
    <t>区分名</t>
    <rPh sb="0" eb="2">
      <t>クブン</t>
    </rPh>
    <rPh sb="2" eb="3">
      <t>メイ</t>
    </rPh>
    <phoneticPr fontId="1"/>
  </si>
  <si>
    <r>
      <t xml:space="preserve"> h = f ・L/D</t>
    </r>
    <r>
      <rPr>
        <vertAlign val="subscript"/>
        <sz val="10"/>
        <color theme="1"/>
        <rFont val="Yu Gothic UI"/>
        <family val="3"/>
        <charset val="128"/>
        <scheme val="minor"/>
      </rPr>
      <t>1</t>
    </r>
    <r>
      <rPr>
        <sz val="10"/>
        <color theme="1"/>
        <rFont val="Yu Gothic UI"/>
        <family val="3"/>
        <charset val="128"/>
        <scheme val="minor"/>
      </rPr>
      <t>・(V</t>
    </r>
    <r>
      <rPr>
        <vertAlign val="subscript"/>
        <sz val="10"/>
        <color theme="1"/>
        <rFont val="Yu Gothic UI"/>
        <family val="3"/>
        <charset val="128"/>
        <scheme val="minor"/>
      </rPr>
      <t>1</t>
    </r>
    <r>
      <rPr>
        <vertAlign val="superscript"/>
        <sz val="10"/>
        <color theme="1"/>
        <rFont val="Yu Gothic UI"/>
        <family val="3"/>
        <charset val="128"/>
        <scheme val="minor"/>
      </rPr>
      <t>2</t>
    </r>
    <r>
      <rPr>
        <sz val="10"/>
        <color theme="1"/>
        <rFont val="Yu Gothic UI"/>
        <family val="3"/>
        <charset val="128"/>
        <scheme val="minor"/>
      </rPr>
      <t>/2g)・N・α</t>
    </r>
    <phoneticPr fontId="1"/>
  </si>
  <si>
    <r>
      <t xml:space="preserve"> h = f ・(V</t>
    </r>
    <r>
      <rPr>
        <vertAlign val="subscript"/>
        <sz val="10"/>
        <color theme="1"/>
        <rFont val="Yu Gothic UI"/>
        <family val="3"/>
        <charset val="128"/>
        <scheme val="minor"/>
      </rPr>
      <t>1</t>
    </r>
    <r>
      <rPr>
        <vertAlign val="superscript"/>
        <sz val="10"/>
        <color theme="1"/>
        <rFont val="Yu Gothic UI"/>
        <family val="3"/>
        <charset val="128"/>
        <scheme val="minor"/>
      </rPr>
      <t>2</t>
    </r>
    <r>
      <rPr>
        <sz val="10"/>
        <color theme="1"/>
        <rFont val="Yu Gothic UI"/>
        <family val="3"/>
        <charset val="128"/>
        <scheme val="minor"/>
      </rPr>
      <t>/2g)・N・α</t>
    </r>
    <phoneticPr fontId="1"/>
  </si>
  <si>
    <r>
      <t xml:space="preserve"> h = f ・{(V</t>
    </r>
    <r>
      <rPr>
        <vertAlign val="subscript"/>
        <sz val="10"/>
        <color theme="1"/>
        <rFont val="Yu Gothic UI"/>
        <family val="3"/>
        <charset val="128"/>
        <scheme val="minor"/>
      </rPr>
      <t>1</t>
    </r>
    <r>
      <rPr>
        <sz val="10"/>
        <color theme="1"/>
        <rFont val="Yu Gothic UI"/>
        <family val="3"/>
        <charset val="128"/>
        <scheme val="minor"/>
      </rPr>
      <t>-V</t>
    </r>
    <r>
      <rPr>
        <vertAlign val="subscript"/>
        <sz val="10"/>
        <color theme="1"/>
        <rFont val="Yu Gothic UI"/>
        <family val="3"/>
        <charset val="128"/>
        <scheme val="minor"/>
      </rPr>
      <t>2</t>
    </r>
    <r>
      <rPr>
        <sz val="10"/>
        <color theme="1"/>
        <rFont val="Yu Gothic UI"/>
        <family val="3"/>
        <charset val="128"/>
        <scheme val="minor"/>
      </rPr>
      <t>)</t>
    </r>
    <r>
      <rPr>
        <vertAlign val="superscript"/>
        <sz val="10"/>
        <color theme="1"/>
        <rFont val="Yu Gothic UI"/>
        <family val="3"/>
        <charset val="128"/>
        <scheme val="minor"/>
      </rPr>
      <t>2</t>
    </r>
    <r>
      <rPr>
        <sz val="10"/>
        <color theme="1"/>
        <rFont val="Yu Gothic UI"/>
        <family val="3"/>
        <charset val="128"/>
        <scheme val="minor"/>
      </rPr>
      <t>/2g}・N・α</t>
    </r>
    <phoneticPr fontId="1"/>
  </si>
  <si>
    <r>
      <t xml:space="preserve"> h = f ・(V</t>
    </r>
    <r>
      <rPr>
        <vertAlign val="subscript"/>
        <sz val="10"/>
        <color theme="1"/>
        <rFont val="Yu Gothic UI"/>
        <family val="3"/>
        <charset val="128"/>
        <scheme val="minor"/>
      </rPr>
      <t>2</t>
    </r>
    <r>
      <rPr>
        <vertAlign val="superscript"/>
        <sz val="10"/>
        <color theme="1"/>
        <rFont val="Yu Gothic UI"/>
        <family val="3"/>
        <charset val="128"/>
        <scheme val="minor"/>
      </rPr>
      <t>2</t>
    </r>
    <r>
      <rPr>
        <sz val="10"/>
        <color theme="1"/>
        <rFont val="Yu Gothic UI"/>
        <family val="3"/>
        <charset val="128"/>
        <scheme val="minor"/>
      </rPr>
      <t>/2g)・N・α</t>
    </r>
    <phoneticPr fontId="1"/>
  </si>
  <si>
    <t>濃度（汚泥の場合）</t>
    <rPh sb="0" eb="2">
      <t>ノウド</t>
    </rPh>
    <rPh sb="3" eb="5">
      <t>オデイ</t>
    </rPh>
    <rPh sb="6" eb="8">
      <t>バアイ</t>
    </rPh>
    <phoneticPr fontId="1"/>
  </si>
  <si>
    <t>↓セット行判定欄。列をセル結合すると、印刷ページ作成「各ページに表見出しを作成する」時に、ページの切れ目で行と行が分割されなくなります。</t>
    <rPh sb="4" eb="5">
      <t>ギョウ</t>
    </rPh>
    <rPh sb="5" eb="7">
      <t>ハンテイ</t>
    </rPh>
    <rPh sb="7" eb="8">
      <t>ラン</t>
    </rPh>
    <rPh sb="9" eb="10">
      <t>レツ</t>
    </rPh>
    <rPh sb="13" eb="15">
      <t>ケツゴウ</t>
    </rPh>
    <rPh sb="19" eb="21">
      <t>インサツ</t>
    </rPh>
    <rPh sb="24" eb="26">
      <t>サクセイ</t>
    </rPh>
    <rPh sb="42" eb="43">
      <t>ジ</t>
    </rPh>
    <rPh sb="49" eb="50">
      <t>キ</t>
    </rPh>
    <rPh sb="51" eb="52">
      <t>メ</t>
    </rPh>
    <rPh sb="53" eb="54">
      <t>ギョウ</t>
    </rPh>
    <rPh sb="55" eb="56">
      <t>ギョウ</t>
    </rPh>
    <rPh sb="57" eb="59">
      <t>ブンカツ</t>
    </rPh>
    <phoneticPr fontId="1"/>
  </si>
  <si>
    <t>■カタログ [配管損失計算書（水・汚泥）]</t>
    <phoneticPr fontId="1"/>
  </si>
  <si>
    <t>・計算式は、ダルシー・ワイズバッハの式による。</t>
    <rPh sb="1" eb="4">
      <t>ケイサンシキ</t>
    </rPh>
    <rPh sb="18" eb="19">
      <t>シキ</t>
    </rPh>
    <phoneticPr fontId="1"/>
  </si>
  <si>
    <t>　清水</t>
    <rPh sb="1" eb="3">
      <t>セイスイ</t>
    </rPh>
    <phoneticPr fontId="1"/>
  </si>
  <si>
    <t>５．C（カタログ）シート</t>
    <phoneticPr fontId="1"/>
  </si>
  <si>
    <t>Ver.0.84</t>
    <phoneticPr fontId="1"/>
  </si>
  <si>
    <t>Ver.0.85</t>
    <phoneticPr fontId="1"/>
  </si>
  <si>
    <t>バグ修正</t>
    <rPh sb="2" eb="4">
      <t>シュウセイ</t>
    </rPh>
    <phoneticPr fontId="1"/>
  </si>
  <si>
    <t>作成</t>
    <rPh sb="0" eb="2">
      <t>サクセイ</t>
    </rPh>
    <phoneticPr fontId="1"/>
  </si>
  <si>
    <t>水・汚泥の配管損失を計算します。</t>
    <rPh sb="0" eb="1">
      <t>ミズ</t>
    </rPh>
    <rPh sb="2" eb="4">
      <t>オデイ</t>
    </rPh>
    <rPh sb="5" eb="7">
      <t>ハイカン</t>
    </rPh>
    <rPh sb="7" eb="9">
      <t>ソンシツ</t>
    </rPh>
    <rPh sb="10" eb="12">
      <t>ケイサン</t>
    </rPh>
    <phoneticPr fontId="1"/>
  </si>
  <si>
    <t>１．入力シート（選択ツール）</t>
    <rPh sb="2" eb="4">
      <t>ニュウリョク</t>
    </rPh>
    <rPh sb="8" eb="10">
      <t>センタク</t>
    </rPh>
    <phoneticPr fontId="1"/>
  </si>
  <si>
    <t>ボタン「選択ツール」を押す。</t>
    <rPh sb="4" eb="6">
      <t>センタク</t>
    </rPh>
    <rPh sb="11" eb="12">
      <t>オ</t>
    </rPh>
    <phoneticPr fontId="1"/>
  </si>
  <si>
    <t>（マウスホイールは非対応）</t>
    <rPh sb="9" eb="12">
      <t>ヒタイオウ</t>
    </rPh>
    <phoneticPr fontId="1"/>
  </si>
  <si>
    <t>選択ツールを終了します。</t>
    <rPh sb="0" eb="2">
      <t>センタク</t>
    </rPh>
    <rPh sb="6" eb="8">
      <t>シュウリョウ</t>
    </rPh>
    <phoneticPr fontId="1"/>
  </si>
  <si>
    <t>流量Q1の単位はどちらか一方のみ入力してください。両方入力した場合は大きい方が採用されます。</t>
    <rPh sb="5" eb="7">
      <t>タンイ</t>
    </rPh>
    <rPh sb="25" eb="27">
      <t>リョウホウ</t>
    </rPh>
    <rPh sb="27" eb="29">
      <t>ニュウリョク</t>
    </rPh>
    <rPh sb="31" eb="33">
      <t>バアイ</t>
    </rPh>
    <rPh sb="34" eb="35">
      <t>オオ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</si>
</sst>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"/>
    <numFmt numFmtId="177" formatCode="0.000"/>
  </numFmts>
  <fonts count="15" x14ac:knownFonts="1">
    <font>
      <sz val="11"/>
      <color theme="1"/>
      <name val="Yu Gothic UI"/>
      <family val="2"/>
      <charset val="128"/>
      <scheme val="minor"/>
    </font>
    <font>
      <sz val="6"/>
      <name val="Yu Gothic UI"/>
      <family val="2"/>
      <charset val="128"/>
      <scheme val="minor"/>
    </font>
    <font>
      <sz val="11"/>
      <color theme="1"/>
      <name val="Yu Gothic UI"/>
      <family val="3"/>
      <charset val="128"/>
      <scheme val="minor"/>
    </font>
    <font>
      <vertAlign val="superscript"/>
      <sz val="11"/>
      <color theme="1"/>
      <name val="Yu Gothic UI"/>
      <family val="3"/>
      <charset val="128"/>
      <scheme val="minor"/>
    </font>
    <font>
      <sz val="10"/>
      <color theme="1"/>
      <name val="Yu Gothic UI"/>
      <family val="2"/>
      <charset val="128"/>
      <scheme val="minor"/>
    </font>
    <font>
      <sz val="9"/>
      <color theme="1"/>
      <name val="Yu Gothic UI"/>
      <family val="3"/>
      <charset val="128"/>
      <scheme val="minor"/>
    </font>
    <font>
      <sz val="10"/>
      <color theme="1"/>
      <name val="Yu Gothic UI"/>
      <family val="3"/>
      <charset val="128"/>
      <scheme val="minor"/>
    </font>
    <font>
      <sz val="10"/>
      <name val="Yu Gothic UI"/>
      <family val="3"/>
      <charset val="128"/>
      <scheme val="minor"/>
    </font>
    <font>
      <vertAlign val="subscript"/>
      <sz val="10"/>
      <color theme="1"/>
      <name val="Yu Gothic UI"/>
      <family val="3"/>
      <charset val="128"/>
      <scheme val="minor"/>
    </font>
    <font>
      <vertAlign val="superscript"/>
      <sz val="10"/>
      <color theme="1"/>
      <name val="Yu Gothic UI"/>
      <family val="3"/>
      <charset val="128"/>
      <scheme val="minor"/>
    </font>
    <font>
      <sz val="8"/>
      <color theme="1"/>
      <name val="Yu Gothic UI"/>
      <family val="2"/>
      <charset val="128"/>
      <scheme val="minor"/>
    </font>
    <font>
      <u/>
      <sz val="14"/>
      <color theme="1"/>
      <name val="Yu Gothic UI"/>
      <family val="2"/>
      <charset val="128"/>
      <scheme val="minor"/>
    </font>
    <font>
      <sz val="8"/>
      <color theme="1"/>
      <name val="Yu Gothic UI"/>
      <family val="3"/>
      <charset val="128"/>
      <scheme val="minor"/>
    </font>
    <font>
      <vertAlign val="superscript"/>
      <sz val="10"/>
      <name val="Yu Gothic UI"/>
      <family val="3"/>
      <charset val="128"/>
      <scheme val="minor"/>
    </font>
    <font>
      <sz val="11"/>
      <color rgb="FF000000"/>
      <name val="Yu Gothic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2" fontId="0" fillId="0" borderId="0" xfId="0" applyNumberFormat="1">
      <alignment vertical="center"/>
    </xf>
    <xf numFmtId="0" fontId="0" fillId="0" borderId="2" xfId="0" applyBorder="1">
      <alignment vertical="center"/>
    </xf>
    <xf numFmtId="177" fontId="0" fillId="0" borderId="0" xfId="0" applyNumberFormat="1">
      <alignment vertical="center"/>
    </xf>
    <xf numFmtId="177" fontId="0" fillId="0" borderId="1" xfId="0" applyNumberFormat="1" applyBorder="1">
      <alignment vertical="center"/>
    </xf>
    <xf numFmtId="1" fontId="0" fillId="0" borderId="1" xfId="0" applyNumberFormat="1" applyBorder="1">
      <alignment vertical="center"/>
    </xf>
    <xf numFmtId="0" fontId="0" fillId="0" borderId="10" xfId="0" applyBorder="1">
      <alignment vertical="center"/>
    </xf>
    <xf numFmtId="0" fontId="0" fillId="2" borderId="10" xfId="0" applyFill="1" applyBorder="1">
      <alignment vertical="center"/>
    </xf>
    <xf numFmtId="0" fontId="4" fillId="0" borderId="0" xfId="0" applyFont="1">
      <alignment vertical="center"/>
    </xf>
    <xf numFmtId="0" fontId="6" fillId="0" borderId="7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6" fillId="3" borderId="14" xfId="0" applyFont="1" applyFill="1" applyBorder="1">
      <alignment vertical="center"/>
    </xf>
    <xf numFmtId="0" fontId="6" fillId="3" borderId="15" xfId="0" applyFont="1" applyFill="1" applyBorder="1" applyAlignment="1">
      <alignment horizontal="left" vertical="center"/>
    </xf>
    <xf numFmtId="177" fontId="6" fillId="3" borderId="14" xfId="0" applyNumberFormat="1" applyFont="1" applyFill="1" applyBorder="1" applyAlignment="1">
      <alignment horizontal="right" vertical="center"/>
    </xf>
    <xf numFmtId="0" fontId="6" fillId="2" borderId="14" xfId="0" applyFont="1" applyFill="1" applyBorder="1">
      <alignment vertical="center"/>
    </xf>
    <xf numFmtId="0" fontId="6" fillId="2" borderId="15" xfId="0" applyFont="1" applyFill="1" applyBorder="1" applyAlignment="1">
      <alignment horizontal="left" vertical="center"/>
    </xf>
    <xf numFmtId="0" fontId="6" fillId="0" borderId="0" xfId="0" applyFont="1" applyFill="1" applyBorder="1">
      <alignment vertical="center"/>
    </xf>
    <xf numFmtId="0" fontId="6" fillId="0" borderId="8" xfId="0" applyFont="1" applyFill="1" applyBorder="1">
      <alignment vertical="center"/>
    </xf>
    <xf numFmtId="0" fontId="6" fillId="0" borderId="13" xfId="0" applyFont="1" applyFill="1" applyBorder="1">
      <alignment vertical="center"/>
    </xf>
    <xf numFmtId="0" fontId="6" fillId="0" borderId="0" xfId="0" applyFont="1" applyBorder="1">
      <alignment vertical="center"/>
    </xf>
    <xf numFmtId="0" fontId="6" fillId="0" borderId="1" xfId="0" applyFont="1" applyFill="1" applyBorder="1">
      <alignment vertical="center"/>
    </xf>
    <xf numFmtId="0" fontId="6" fillId="0" borderId="9" xfId="0" applyFont="1" applyFill="1" applyBorder="1">
      <alignment vertical="center"/>
    </xf>
    <xf numFmtId="0" fontId="6" fillId="0" borderId="12" xfId="0" applyFont="1" applyFill="1" applyBorder="1">
      <alignment vertical="center"/>
    </xf>
    <xf numFmtId="0" fontId="6" fillId="0" borderId="0" xfId="0" applyFont="1" applyBorder="1" applyAlignment="1">
      <alignment vertical="center"/>
    </xf>
    <xf numFmtId="0" fontId="6" fillId="0" borderId="13" xfId="0" applyFont="1" applyBorder="1" applyAlignment="1">
      <alignment horizontal="center" vertical="center"/>
    </xf>
    <xf numFmtId="0" fontId="6" fillId="3" borderId="16" xfId="0" applyFont="1" applyFill="1" applyBorder="1">
      <alignment vertical="center"/>
    </xf>
    <xf numFmtId="177" fontId="6" fillId="3" borderId="16" xfId="0" applyNumberFormat="1" applyFont="1" applyFill="1" applyBorder="1" applyAlignment="1">
      <alignment horizontal="right" vertical="center"/>
    </xf>
    <xf numFmtId="0" fontId="6" fillId="0" borderId="3" xfId="0" applyFont="1" applyBorder="1" applyAlignment="1">
      <alignment vertical="center"/>
    </xf>
    <xf numFmtId="0" fontId="4" fillId="0" borderId="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 applyBorder="1">
      <alignment vertical="center"/>
    </xf>
    <xf numFmtId="0" fontId="6" fillId="3" borderId="14" xfId="0" applyFont="1" applyFill="1" applyBorder="1" applyAlignment="1">
      <alignment horizontal="center" vertical="center"/>
    </xf>
    <xf numFmtId="2" fontId="6" fillId="3" borderId="16" xfId="0" applyNumberFormat="1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177" fontId="6" fillId="2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177" fontId="6" fillId="3" borderId="15" xfId="0" applyNumberFormat="1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77" fontId="6" fillId="3" borderId="17" xfId="0" applyNumberFormat="1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6" fillId="2" borderId="17" xfId="0" applyFont="1" applyFill="1" applyBorder="1">
      <alignment vertical="center"/>
    </xf>
    <xf numFmtId="0" fontId="6" fillId="2" borderId="15" xfId="0" applyFont="1" applyFill="1" applyBorder="1">
      <alignment vertical="center"/>
    </xf>
    <xf numFmtId="0" fontId="6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6" fillId="2" borderId="18" xfId="0" applyFont="1" applyFill="1" applyBorder="1" applyAlignment="1">
      <alignment horizontal="right" vertical="center"/>
    </xf>
    <xf numFmtId="177" fontId="6" fillId="3" borderId="1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177" fontId="6" fillId="2" borderId="0" xfId="0" applyNumberFormat="1" applyFont="1" applyFill="1" applyBorder="1" applyAlignment="1">
      <alignment horizontal="right" vertical="center"/>
    </xf>
    <xf numFmtId="177" fontId="6" fillId="2" borderId="10" xfId="0" applyNumberFormat="1" applyFont="1" applyFill="1" applyBorder="1" applyAlignment="1">
      <alignment horizontal="right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2" fillId="2" borderId="0" xfId="0" applyFont="1" applyFill="1">
      <alignment vertical="center"/>
    </xf>
    <xf numFmtId="0" fontId="12" fillId="3" borderId="0" xfId="0" applyFont="1" applyFill="1">
      <alignment vertical="center"/>
    </xf>
    <xf numFmtId="0" fontId="6" fillId="0" borderId="3" xfId="0" applyFont="1" applyBorder="1" applyAlignment="1">
      <alignment horizontal="right" vertical="center" indent="1"/>
    </xf>
    <xf numFmtId="0" fontId="6" fillId="0" borderId="0" xfId="0" applyFont="1" applyBorder="1" applyAlignment="1">
      <alignment horizontal="right" vertical="center" indent="1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right" vertical="center"/>
    </xf>
    <xf numFmtId="0" fontId="6" fillId="0" borderId="1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11" fillId="0" borderId="0" xfId="0" applyFont="1" applyBorder="1">
      <alignment vertical="center"/>
    </xf>
    <xf numFmtId="2" fontId="4" fillId="3" borderId="17" xfId="0" applyNumberFormat="1" applyFont="1" applyFill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77" fontId="6" fillId="3" borderId="16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EFEFE"/>
      <color rgb="FF00C9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257175</xdr:colOff>
          <xdr:row>1</xdr:row>
          <xdr:rowOff>180975</xdr:rowOff>
        </xdr:from>
        <xdr:to>
          <xdr:col>19</xdr:col>
          <xdr:colOff>219075</xdr:colOff>
          <xdr:row>4</xdr:row>
          <xdr:rowOff>19050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 UI"/>
                  <a:ea typeface="Yu Gothic UI"/>
                </a:rPr>
                <a:t>選択ツール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74</xdr:row>
      <xdr:rowOff>161925</xdr:rowOff>
    </xdr:from>
    <xdr:to>
      <xdr:col>8</xdr:col>
      <xdr:colOff>19050</xdr:colOff>
      <xdr:row>78</xdr:row>
      <xdr:rowOff>0</xdr:rowOff>
    </xdr:to>
    <xdr:grpSp>
      <xdr:nvGrpSpPr>
        <xdr:cNvPr id="67" name="グループ化 66"/>
        <xdr:cNvGrpSpPr/>
      </xdr:nvGrpSpPr>
      <xdr:grpSpPr>
        <a:xfrm>
          <a:off x="4505325" y="15687675"/>
          <a:ext cx="1285875" cy="676275"/>
          <a:chOff x="3539797" y="9155934"/>
          <a:chExt cx="1288283" cy="527816"/>
        </a:xfrm>
      </xdr:grpSpPr>
      <xdr:cxnSp macro="">
        <xdr:nvCxnSpPr>
          <xdr:cNvPr id="8" name="直線コネクタ 7"/>
          <xdr:cNvCxnSpPr/>
        </xdr:nvCxnSpPr>
        <xdr:spPr>
          <a:xfrm flipH="1">
            <a:off x="4122028" y="9338880"/>
            <a:ext cx="533398" cy="0"/>
          </a:xfrm>
          <a:prstGeom prst="line">
            <a:avLst/>
          </a:prstGeom>
          <a:ln w="254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直線コネクタ 10"/>
          <xdr:cNvCxnSpPr/>
        </xdr:nvCxnSpPr>
        <xdr:spPr>
          <a:xfrm flipH="1">
            <a:off x="4122027" y="9511315"/>
            <a:ext cx="528637" cy="0"/>
          </a:xfrm>
          <a:prstGeom prst="line">
            <a:avLst/>
          </a:prstGeom>
          <a:ln w="254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直線コネクタ 11"/>
          <xdr:cNvCxnSpPr/>
        </xdr:nvCxnSpPr>
        <xdr:spPr>
          <a:xfrm flipH="1">
            <a:off x="4124407" y="9330750"/>
            <a:ext cx="1" cy="187709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" name="直線コネクタ 17"/>
          <xdr:cNvCxnSpPr/>
        </xdr:nvCxnSpPr>
        <xdr:spPr>
          <a:xfrm flipH="1">
            <a:off x="3973185" y="9424603"/>
            <a:ext cx="854895" cy="0"/>
          </a:xfrm>
          <a:prstGeom prst="line">
            <a:avLst/>
          </a:prstGeom>
          <a:ln w="6350"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" name="直線コネクタ 18"/>
          <xdr:cNvCxnSpPr/>
        </xdr:nvCxnSpPr>
        <xdr:spPr>
          <a:xfrm>
            <a:off x="4331576" y="9155934"/>
            <a:ext cx="0" cy="172435"/>
          </a:xfrm>
          <a:prstGeom prst="line">
            <a:avLst/>
          </a:prstGeom>
          <a:ln w="254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直線コネクタ 25"/>
          <xdr:cNvCxnSpPr/>
        </xdr:nvCxnSpPr>
        <xdr:spPr>
          <a:xfrm>
            <a:off x="4326813" y="9511315"/>
            <a:ext cx="0" cy="172435"/>
          </a:xfrm>
          <a:prstGeom prst="line">
            <a:avLst/>
          </a:prstGeom>
          <a:ln w="254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3" name="フリーフォーム 32"/>
          <xdr:cNvSpPr/>
        </xdr:nvSpPr>
        <xdr:spPr>
          <a:xfrm>
            <a:off x="4626842" y="9338879"/>
            <a:ext cx="47665" cy="177216"/>
          </a:xfrm>
          <a:custGeom>
            <a:avLst/>
            <a:gdLst>
              <a:gd name="connsiteX0" fmla="*/ 23822 w 47665"/>
              <a:gd name="connsiteY0" fmla="*/ 0 h 176230"/>
              <a:gd name="connsiteX1" fmla="*/ 9 w 47665"/>
              <a:gd name="connsiteY1" fmla="*/ 59531 h 176230"/>
              <a:gd name="connsiteX2" fmla="*/ 26203 w 47665"/>
              <a:gd name="connsiteY2" fmla="*/ 88106 h 176230"/>
              <a:gd name="connsiteX3" fmla="*/ 47634 w 47665"/>
              <a:gd name="connsiteY3" fmla="*/ 128588 h 176230"/>
              <a:gd name="connsiteX4" fmla="*/ 21440 w 47665"/>
              <a:gd name="connsiteY4" fmla="*/ 171450 h 176230"/>
              <a:gd name="connsiteX5" fmla="*/ 23822 w 47665"/>
              <a:gd name="connsiteY5" fmla="*/ 171450 h 176230"/>
              <a:gd name="connsiteX6" fmla="*/ 45253 w 47665"/>
              <a:gd name="connsiteY6" fmla="*/ 138113 h 17623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47665" h="176230">
                <a:moveTo>
                  <a:pt x="23822" y="0"/>
                </a:moveTo>
                <a:cubicBezTo>
                  <a:pt x="11717" y="22423"/>
                  <a:pt x="-388" y="44847"/>
                  <a:pt x="9" y="59531"/>
                </a:cubicBezTo>
                <a:cubicBezTo>
                  <a:pt x="406" y="74215"/>
                  <a:pt x="18266" y="76597"/>
                  <a:pt x="26203" y="88106"/>
                </a:cubicBezTo>
                <a:cubicBezTo>
                  <a:pt x="34140" y="99615"/>
                  <a:pt x="48428" y="114697"/>
                  <a:pt x="47634" y="128588"/>
                </a:cubicBezTo>
                <a:cubicBezTo>
                  <a:pt x="46840" y="142479"/>
                  <a:pt x="25409" y="164306"/>
                  <a:pt x="21440" y="171450"/>
                </a:cubicBezTo>
                <a:cubicBezTo>
                  <a:pt x="17471" y="178594"/>
                  <a:pt x="19853" y="177006"/>
                  <a:pt x="23822" y="171450"/>
                </a:cubicBezTo>
                <a:cubicBezTo>
                  <a:pt x="27791" y="165894"/>
                  <a:pt x="36522" y="152003"/>
                  <a:pt x="45253" y="138113"/>
                </a:cubicBezTo>
              </a:path>
            </a:pathLst>
          </a:cu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6" name="直線矢印コネクタ 35"/>
          <xdr:cNvCxnSpPr/>
        </xdr:nvCxnSpPr>
        <xdr:spPr>
          <a:xfrm>
            <a:off x="3539797" y="9424604"/>
            <a:ext cx="400050" cy="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100012</xdr:colOff>
      <xdr:row>79</xdr:row>
      <xdr:rowOff>985</xdr:rowOff>
    </xdr:from>
    <xdr:to>
      <xdr:col>8</xdr:col>
      <xdr:colOff>14287</xdr:colOff>
      <xdr:row>82</xdr:row>
      <xdr:rowOff>985</xdr:rowOff>
    </xdr:to>
    <xdr:grpSp>
      <xdr:nvGrpSpPr>
        <xdr:cNvPr id="3" name="グループ化 2"/>
        <xdr:cNvGrpSpPr/>
      </xdr:nvGrpSpPr>
      <xdr:grpSpPr>
        <a:xfrm>
          <a:off x="4500562" y="16574485"/>
          <a:ext cx="1285875" cy="628650"/>
          <a:chOff x="4500562" y="11602435"/>
          <a:chExt cx="1285875" cy="514350"/>
        </a:xfrm>
      </xdr:grpSpPr>
      <xdr:cxnSp macro="">
        <xdr:nvCxnSpPr>
          <xdr:cNvPr id="38" name="直線コネクタ 37"/>
          <xdr:cNvCxnSpPr/>
        </xdr:nvCxnSpPr>
        <xdr:spPr>
          <a:xfrm flipH="1">
            <a:off x="5080503" y="11778621"/>
            <a:ext cx="533603" cy="0"/>
          </a:xfrm>
          <a:prstGeom prst="line">
            <a:avLst/>
          </a:prstGeom>
          <a:ln w="254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9" name="直線コネクタ 38"/>
          <xdr:cNvCxnSpPr/>
        </xdr:nvCxnSpPr>
        <xdr:spPr>
          <a:xfrm flipH="1">
            <a:off x="5080502" y="11950070"/>
            <a:ext cx="528851" cy="0"/>
          </a:xfrm>
          <a:prstGeom prst="line">
            <a:avLst/>
          </a:prstGeom>
          <a:ln w="254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" name="直線コネクタ 39"/>
          <xdr:cNvCxnSpPr/>
        </xdr:nvCxnSpPr>
        <xdr:spPr>
          <a:xfrm>
            <a:off x="5085268" y="11776253"/>
            <a:ext cx="0" cy="171450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1" name="直線コネクタ 40"/>
          <xdr:cNvCxnSpPr/>
        </xdr:nvCxnSpPr>
        <xdr:spPr>
          <a:xfrm flipH="1">
            <a:off x="4933140" y="11863855"/>
            <a:ext cx="853297" cy="0"/>
          </a:xfrm>
          <a:prstGeom prst="line">
            <a:avLst/>
          </a:prstGeom>
          <a:ln w="6350"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直線コネクタ 41"/>
          <xdr:cNvCxnSpPr/>
        </xdr:nvCxnSpPr>
        <xdr:spPr>
          <a:xfrm>
            <a:off x="5086457" y="11602435"/>
            <a:ext cx="0" cy="171451"/>
          </a:xfrm>
          <a:prstGeom prst="line">
            <a:avLst/>
          </a:prstGeom>
          <a:ln w="254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直線コネクタ 42"/>
          <xdr:cNvCxnSpPr/>
        </xdr:nvCxnSpPr>
        <xdr:spPr>
          <a:xfrm>
            <a:off x="5086457" y="11945335"/>
            <a:ext cx="0" cy="171450"/>
          </a:xfrm>
          <a:prstGeom prst="line">
            <a:avLst/>
          </a:prstGeom>
          <a:ln w="254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44" name="フリーフォーム 43"/>
          <xdr:cNvSpPr/>
        </xdr:nvSpPr>
        <xdr:spPr>
          <a:xfrm>
            <a:off x="5585575" y="11778620"/>
            <a:ext cx="47576" cy="176202"/>
          </a:xfrm>
          <a:custGeom>
            <a:avLst/>
            <a:gdLst>
              <a:gd name="connsiteX0" fmla="*/ 23822 w 47665"/>
              <a:gd name="connsiteY0" fmla="*/ 0 h 176230"/>
              <a:gd name="connsiteX1" fmla="*/ 9 w 47665"/>
              <a:gd name="connsiteY1" fmla="*/ 59531 h 176230"/>
              <a:gd name="connsiteX2" fmla="*/ 26203 w 47665"/>
              <a:gd name="connsiteY2" fmla="*/ 88106 h 176230"/>
              <a:gd name="connsiteX3" fmla="*/ 47634 w 47665"/>
              <a:gd name="connsiteY3" fmla="*/ 128588 h 176230"/>
              <a:gd name="connsiteX4" fmla="*/ 21440 w 47665"/>
              <a:gd name="connsiteY4" fmla="*/ 171450 h 176230"/>
              <a:gd name="connsiteX5" fmla="*/ 23822 w 47665"/>
              <a:gd name="connsiteY5" fmla="*/ 171450 h 176230"/>
              <a:gd name="connsiteX6" fmla="*/ 45253 w 47665"/>
              <a:gd name="connsiteY6" fmla="*/ 138113 h 17623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47665" h="176230">
                <a:moveTo>
                  <a:pt x="23822" y="0"/>
                </a:moveTo>
                <a:cubicBezTo>
                  <a:pt x="11717" y="22423"/>
                  <a:pt x="-388" y="44847"/>
                  <a:pt x="9" y="59531"/>
                </a:cubicBezTo>
                <a:cubicBezTo>
                  <a:pt x="406" y="74215"/>
                  <a:pt x="18266" y="76597"/>
                  <a:pt x="26203" y="88106"/>
                </a:cubicBezTo>
                <a:cubicBezTo>
                  <a:pt x="34140" y="99615"/>
                  <a:pt x="48428" y="114697"/>
                  <a:pt x="47634" y="128588"/>
                </a:cubicBezTo>
                <a:cubicBezTo>
                  <a:pt x="46840" y="142479"/>
                  <a:pt x="25409" y="164306"/>
                  <a:pt x="21440" y="171450"/>
                </a:cubicBezTo>
                <a:cubicBezTo>
                  <a:pt x="17471" y="178594"/>
                  <a:pt x="19853" y="177006"/>
                  <a:pt x="23822" y="171450"/>
                </a:cubicBezTo>
                <a:cubicBezTo>
                  <a:pt x="27791" y="165894"/>
                  <a:pt x="36522" y="152003"/>
                  <a:pt x="45253" y="138113"/>
                </a:cubicBezTo>
              </a:path>
            </a:pathLst>
          </a:cu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5" name="直線矢印コネクタ 44"/>
          <xdr:cNvCxnSpPr/>
        </xdr:nvCxnSpPr>
        <xdr:spPr>
          <a:xfrm>
            <a:off x="4500562" y="11863856"/>
            <a:ext cx="399302" cy="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99301</xdr:colOff>
      <xdr:row>83</xdr:row>
      <xdr:rowOff>1670</xdr:rowOff>
    </xdr:from>
    <xdr:to>
      <xdr:col>7</xdr:col>
      <xdr:colOff>681530</xdr:colOff>
      <xdr:row>85</xdr:row>
      <xdr:rowOff>151688</xdr:rowOff>
    </xdr:to>
    <xdr:grpSp>
      <xdr:nvGrpSpPr>
        <xdr:cNvPr id="68" name="グループ化 67"/>
        <xdr:cNvGrpSpPr/>
      </xdr:nvGrpSpPr>
      <xdr:grpSpPr>
        <a:xfrm>
          <a:off x="4499851" y="17413370"/>
          <a:ext cx="1268029" cy="569118"/>
          <a:chOff x="3539797" y="10553071"/>
          <a:chExt cx="1269233" cy="494888"/>
        </a:xfrm>
      </xdr:grpSpPr>
      <xdr:cxnSp macro="">
        <xdr:nvCxnSpPr>
          <xdr:cNvPr id="46" name="直線コネクタ 45"/>
          <xdr:cNvCxnSpPr/>
        </xdr:nvCxnSpPr>
        <xdr:spPr>
          <a:xfrm flipH="1">
            <a:off x="4245851" y="10718363"/>
            <a:ext cx="402431" cy="2380"/>
          </a:xfrm>
          <a:prstGeom prst="line">
            <a:avLst/>
          </a:prstGeom>
          <a:ln w="254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直線コネクタ 46"/>
          <xdr:cNvCxnSpPr>
            <a:stCxn id="51" idx="5"/>
            <a:endCxn id="63" idx="3"/>
          </xdr:cNvCxnSpPr>
        </xdr:nvCxnSpPr>
        <xdr:spPr>
          <a:xfrm flipH="1">
            <a:off x="4252995" y="10890797"/>
            <a:ext cx="397669" cy="2380"/>
          </a:xfrm>
          <a:prstGeom prst="line">
            <a:avLst/>
          </a:prstGeom>
          <a:ln w="254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直線コネクタ 47"/>
          <xdr:cNvCxnSpPr/>
        </xdr:nvCxnSpPr>
        <xdr:spPr>
          <a:xfrm flipH="1">
            <a:off x="3954135" y="10796943"/>
            <a:ext cx="854895" cy="0"/>
          </a:xfrm>
          <a:prstGeom prst="line">
            <a:avLst/>
          </a:prstGeom>
          <a:ln w="6350"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直線コネクタ 49"/>
          <xdr:cNvCxnSpPr>
            <a:endCxn id="63" idx="0"/>
          </xdr:cNvCxnSpPr>
        </xdr:nvCxnSpPr>
        <xdr:spPr>
          <a:xfrm>
            <a:off x="4129170" y="10553071"/>
            <a:ext cx="0" cy="494888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51" name="フリーフォーム 50"/>
          <xdr:cNvSpPr/>
        </xdr:nvSpPr>
        <xdr:spPr>
          <a:xfrm>
            <a:off x="4626842" y="10718362"/>
            <a:ext cx="47665" cy="177215"/>
          </a:xfrm>
          <a:custGeom>
            <a:avLst/>
            <a:gdLst>
              <a:gd name="connsiteX0" fmla="*/ 23822 w 47665"/>
              <a:gd name="connsiteY0" fmla="*/ 0 h 176230"/>
              <a:gd name="connsiteX1" fmla="*/ 9 w 47665"/>
              <a:gd name="connsiteY1" fmla="*/ 59531 h 176230"/>
              <a:gd name="connsiteX2" fmla="*/ 26203 w 47665"/>
              <a:gd name="connsiteY2" fmla="*/ 88106 h 176230"/>
              <a:gd name="connsiteX3" fmla="*/ 47634 w 47665"/>
              <a:gd name="connsiteY3" fmla="*/ 128588 h 176230"/>
              <a:gd name="connsiteX4" fmla="*/ 21440 w 47665"/>
              <a:gd name="connsiteY4" fmla="*/ 171450 h 176230"/>
              <a:gd name="connsiteX5" fmla="*/ 23822 w 47665"/>
              <a:gd name="connsiteY5" fmla="*/ 171450 h 176230"/>
              <a:gd name="connsiteX6" fmla="*/ 45253 w 47665"/>
              <a:gd name="connsiteY6" fmla="*/ 138113 h 17623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47665" h="176230">
                <a:moveTo>
                  <a:pt x="23822" y="0"/>
                </a:moveTo>
                <a:cubicBezTo>
                  <a:pt x="11717" y="22423"/>
                  <a:pt x="-388" y="44847"/>
                  <a:pt x="9" y="59531"/>
                </a:cubicBezTo>
                <a:cubicBezTo>
                  <a:pt x="406" y="74215"/>
                  <a:pt x="18266" y="76597"/>
                  <a:pt x="26203" y="88106"/>
                </a:cubicBezTo>
                <a:cubicBezTo>
                  <a:pt x="34140" y="99615"/>
                  <a:pt x="48428" y="114697"/>
                  <a:pt x="47634" y="128588"/>
                </a:cubicBezTo>
                <a:cubicBezTo>
                  <a:pt x="46840" y="142479"/>
                  <a:pt x="25409" y="164306"/>
                  <a:pt x="21440" y="171450"/>
                </a:cubicBezTo>
                <a:cubicBezTo>
                  <a:pt x="17471" y="178594"/>
                  <a:pt x="19853" y="177006"/>
                  <a:pt x="23822" y="171450"/>
                </a:cubicBezTo>
                <a:cubicBezTo>
                  <a:pt x="27791" y="165894"/>
                  <a:pt x="36522" y="152003"/>
                  <a:pt x="45253" y="138113"/>
                </a:cubicBezTo>
              </a:path>
            </a:pathLst>
          </a:cu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52" name="直線矢印コネクタ 51"/>
          <xdr:cNvCxnSpPr/>
        </xdr:nvCxnSpPr>
        <xdr:spPr>
          <a:xfrm>
            <a:off x="3539797" y="10804087"/>
            <a:ext cx="400050" cy="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1" name="フリーフォーム 60"/>
          <xdr:cNvSpPr/>
        </xdr:nvSpPr>
        <xdr:spPr>
          <a:xfrm>
            <a:off x="4129170" y="10557833"/>
            <a:ext cx="123825" cy="162910"/>
          </a:xfrm>
          <a:custGeom>
            <a:avLst/>
            <a:gdLst>
              <a:gd name="connsiteX0" fmla="*/ 0 w 123825"/>
              <a:gd name="connsiteY0" fmla="*/ 0 h 161925"/>
              <a:gd name="connsiteX1" fmla="*/ 47625 w 123825"/>
              <a:gd name="connsiteY1" fmla="*/ 92869 h 161925"/>
              <a:gd name="connsiteX2" fmla="*/ 69056 w 123825"/>
              <a:gd name="connsiteY2" fmla="*/ 128588 h 161925"/>
              <a:gd name="connsiteX3" fmla="*/ 123825 w 123825"/>
              <a:gd name="connsiteY3" fmla="*/ 161925 h 1619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23825" h="161925">
                <a:moveTo>
                  <a:pt x="0" y="0"/>
                </a:moveTo>
                <a:cubicBezTo>
                  <a:pt x="18058" y="35719"/>
                  <a:pt x="36116" y="71438"/>
                  <a:pt x="47625" y="92869"/>
                </a:cubicBezTo>
                <a:cubicBezTo>
                  <a:pt x="59134" y="114300"/>
                  <a:pt x="56356" y="117079"/>
                  <a:pt x="69056" y="128588"/>
                </a:cubicBezTo>
                <a:cubicBezTo>
                  <a:pt x="81756" y="140097"/>
                  <a:pt x="102790" y="151011"/>
                  <a:pt x="123825" y="161925"/>
                </a:cubicBezTo>
              </a:path>
            </a:pathLst>
          </a:custGeom>
          <a:noFill/>
          <a:ln w="254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3" name="フリーフォーム 62"/>
          <xdr:cNvSpPr/>
        </xdr:nvSpPr>
        <xdr:spPr>
          <a:xfrm flipV="1">
            <a:off x="4129170" y="10893177"/>
            <a:ext cx="123825" cy="154782"/>
          </a:xfrm>
          <a:custGeom>
            <a:avLst/>
            <a:gdLst>
              <a:gd name="connsiteX0" fmla="*/ 0 w 123825"/>
              <a:gd name="connsiteY0" fmla="*/ 0 h 161925"/>
              <a:gd name="connsiteX1" fmla="*/ 47625 w 123825"/>
              <a:gd name="connsiteY1" fmla="*/ 92869 h 161925"/>
              <a:gd name="connsiteX2" fmla="*/ 69056 w 123825"/>
              <a:gd name="connsiteY2" fmla="*/ 128588 h 161925"/>
              <a:gd name="connsiteX3" fmla="*/ 123825 w 123825"/>
              <a:gd name="connsiteY3" fmla="*/ 161925 h 1619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23825" h="161925">
                <a:moveTo>
                  <a:pt x="0" y="0"/>
                </a:moveTo>
                <a:cubicBezTo>
                  <a:pt x="18058" y="35719"/>
                  <a:pt x="36116" y="71438"/>
                  <a:pt x="47625" y="92869"/>
                </a:cubicBezTo>
                <a:cubicBezTo>
                  <a:pt x="59134" y="114300"/>
                  <a:pt x="56356" y="117079"/>
                  <a:pt x="69056" y="128588"/>
                </a:cubicBezTo>
                <a:cubicBezTo>
                  <a:pt x="81756" y="140097"/>
                  <a:pt x="102790" y="151011"/>
                  <a:pt x="123825" y="161925"/>
                </a:cubicBezTo>
              </a:path>
            </a:pathLst>
          </a:custGeom>
          <a:noFill/>
          <a:ln w="254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5</xdr:col>
      <xdr:colOff>409575</xdr:colOff>
      <xdr:row>93</xdr:row>
      <xdr:rowOff>57150</xdr:rowOff>
    </xdr:from>
    <xdr:to>
      <xdr:col>7</xdr:col>
      <xdr:colOff>552450</xdr:colOff>
      <xdr:row>99</xdr:row>
      <xdr:rowOff>104775</xdr:rowOff>
    </xdr:to>
    <xdr:pic>
      <xdr:nvPicPr>
        <xdr:cNvPr id="236" name="図 23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13716000"/>
          <a:ext cx="1514475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371475</xdr:colOff>
      <xdr:row>116</xdr:row>
      <xdr:rowOff>19050</xdr:rowOff>
    </xdr:from>
    <xdr:to>
      <xdr:col>8</xdr:col>
      <xdr:colOff>590550</xdr:colOff>
      <xdr:row>122</xdr:row>
      <xdr:rowOff>104775</xdr:rowOff>
    </xdr:to>
    <xdr:pic>
      <xdr:nvPicPr>
        <xdr:cNvPr id="238" name="図 237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86225" y="15735300"/>
          <a:ext cx="227647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457200</xdr:colOff>
      <xdr:row>129</xdr:row>
      <xdr:rowOff>76200</xdr:rowOff>
    </xdr:from>
    <xdr:to>
      <xdr:col>7</xdr:col>
      <xdr:colOff>638175</xdr:colOff>
      <xdr:row>134</xdr:row>
      <xdr:rowOff>171450</xdr:rowOff>
    </xdr:to>
    <xdr:pic>
      <xdr:nvPicPr>
        <xdr:cNvPr id="244" name="図 24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1950" y="21135975"/>
          <a:ext cx="1552575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590550</xdr:colOff>
      <xdr:row>140</xdr:row>
      <xdr:rowOff>47625</xdr:rowOff>
    </xdr:from>
    <xdr:to>
      <xdr:col>8</xdr:col>
      <xdr:colOff>238125</xdr:colOff>
      <xdr:row>144</xdr:row>
      <xdr:rowOff>152400</xdr:rowOff>
    </xdr:to>
    <xdr:pic>
      <xdr:nvPicPr>
        <xdr:cNvPr id="248" name="図 2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05300" y="22793325"/>
          <a:ext cx="1704975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19050</xdr:colOff>
      <xdr:row>150</xdr:row>
      <xdr:rowOff>114300</xdr:rowOff>
    </xdr:from>
    <xdr:to>
      <xdr:col>8</xdr:col>
      <xdr:colOff>123825</xdr:colOff>
      <xdr:row>155</xdr:row>
      <xdr:rowOff>180975</xdr:rowOff>
    </xdr:to>
    <xdr:pic>
      <xdr:nvPicPr>
        <xdr:cNvPr id="249" name="図 248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9600" y="24231600"/>
          <a:ext cx="1476375" cy="1114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38100</xdr:colOff>
      <xdr:row>159</xdr:row>
      <xdr:rowOff>47625</xdr:rowOff>
    </xdr:from>
    <xdr:to>
      <xdr:col>8</xdr:col>
      <xdr:colOff>485775</xdr:colOff>
      <xdr:row>163</xdr:row>
      <xdr:rowOff>114300</xdr:rowOff>
    </xdr:to>
    <xdr:pic>
      <xdr:nvPicPr>
        <xdr:cNvPr id="250" name="図 249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25707975"/>
          <a:ext cx="18192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76200</xdr:colOff>
      <xdr:row>168</xdr:row>
      <xdr:rowOff>57150</xdr:rowOff>
    </xdr:from>
    <xdr:to>
      <xdr:col>8</xdr:col>
      <xdr:colOff>219075</xdr:colOff>
      <xdr:row>171</xdr:row>
      <xdr:rowOff>142875</xdr:rowOff>
    </xdr:to>
    <xdr:pic>
      <xdr:nvPicPr>
        <xdr:cNvPr id="251" name="図 250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0" y="27260550"/>
          <a:ext cx="15144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123825</xdr:colOff>
      <xdr:row>126</xdr:row>
      <xdr:rowOff>133350</xdr:rowOff>
    </xdr:from>
    <xdr:to>
      <xdr:col>8</xdr:col>
      <xdr:colOff>609600</xdr:colOff>
      <xdr:row>134</xdr:row>
      <xdr:rowOff>47625</xdr:rowOff>
    </xdr:to>
    <xdr:sp macro="" textlink="">
      <xdr:nvSpPr>
        <xdr:cNvPr id="3151" name="AutoShape 79"/>
        <xdr:cNvSpPr>
          <a:spLocks noChangeAspect="1" noChangeArrowheads="1"/>
        </xdr:cNvSpPr>
      </xdr:nvSpPr>
      <xdr:spPr bwMode="auto">
        <a:xfrm>
          <a:off x="4524375" y="20421600"/>
          <a:ext cx="1857375" cy="159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123825</xdr:colOff>
      <xdr:row>126</xdr:row>
      <xdr:rowOff>133350</xdr:rowOff>
    </xdr:from>
    <xdr:to>
      <xdr:col>8</xdr:col>
      <xdr:colOff>609600</xdr:colOff>
      <xdr:row>134</xdr:row>
      <xdr:rowOff>47625</xdr:rowOff>
    </xdr:to>
    <xdr:sp macro="" textlink="">
      <xdr:nvSpPr>
        <xdr:cNvPr id="3155" name="AutoShape 83"/>
        <xdr:cNvSpPr>
          <a:spLocks noChangeAspect="1" noChangeArrowheads="1"/>
        </xdr:cNvSpPr>
      </xdr:nvSpPr>
      <xdr:spPr bwMode="auto">
        <a:xfrm>
          <a:off x="4524375" y="20421600"/>
          <a:ext cx="1857375" cy="159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190500</xdr:rowOff>
    </xdr:from>
    <xdr:to>
      <xdr:col>6</xdr:col>
      <xdr:colOff>542925</xdr:colOff>
      <xdr:row>34</xdr:row>
      <xdr:rowOff>52131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28675" y="4800600"/>
          <a:ext cx="4114800" cy="36335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YuGothic設定">
      <a:majorFont>
        <a:latin typeface="Calibri Light"/>
        <a:ea typeface="Yu Gothic UI"/>
        <a:cs typeface=""/>
      </a:majorFont>
      <a:minorFont>
        <a:latin typeface="Calibri"/>
        <a:ea typeface="Yu Gothic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U40"/>
  <sheetViews>
    <sheetView tabSelected="1" zoomScale="110" zoomScaleNormal="110" workbookViewId="0">
      <selection activeCell="S6" sqref="S6"/>
    </sheetView>
  </sheetViews>
  <sheetFormatPr defaultRowHeight="15.75" customHeight="1" x14ac:dyDescent="0.3"/>
  <cols>
    <col min="1" max="1" width="2.625" customWidth="1"/>
    <col min="2" max="2" width="4.625" customWidth="1"/>
    <col min="3" max="6" width="7.125" customWidth="1"/>
    <col min="7" max="7" width="26.625" customWidth="1"/>
    <col min="8" max="8" width="4.625" customWidth="1"/>
    <col min="9" max="9" width="6.125" customWidth="1"/>
    <col min="10" max="10" width="22.625" customWidth="1"/>
    <col min="11" max="15" width="7.125" customWidth="1"/>
    <col min="16" max="17" width="2.625" customWidth="1"/>
    <col min="18" max="21" width="5.625" customWidth="1"/>
  </cols>
  <sheetData>
    <row r="1" spans="2:21" ht="15.75" customHeight="1" x14ac:dyDescent="0.3">
      <c r="B1" s="79" t="s">
        <v>249</v>
      </c>
      <c r="C1" s="43"/>
      <c r="D1" s="43"/>
      <c r="E1" s="43"/>
      <c r="F1" s="43"/>
      <c r="G1" s="31"/>
      <c r="H1" s="43"/>
      <c r="I1" s="43"/>
      <c r="J1" s="43"/>
      <c r="K1" s="43"/>
      <c r="L1" s="43"/>
      <c r="M1" s="43"/>
      <c r="N1" s="43"/>
      <c r="O1" s="43"/>
      <c r="P1" s="14"/>
      <c r="Q1" s="14"/>
      <c r="R1" s="14"/>
      <c r="S1" s="57" t="s">
        <v>113</v>
      </c>
      <c r="T1" s="57"/>
      <c r="U1" s="57" t="s">
        <v>318</v>
      </c>
    </row>
    <row r="2" spans="2:21" ht="15.75" customHeight="1" x14ac:dyDescent="0.3">
      <c r="B2" s="68"/>
      <c r="C2" s="14"/>
      <c r="D2" s="14"/>
      <c r="E2" s="14"/>
      <c r="F2" s="14"/>
      <c r="G2" s="60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57"/>
      <c r="T2" s="57"/>
      <c r="U2" s="69" t="s">
        <v>264</v>
      </c>
    </row>
    <row r="3" spans="2:21" ht="15.75" customHeight="1" x14ac:dyDescent="0.3">
      <c r="B3" s="14"/>
      <c r="C3" s="14" t="s">
        <v>122</v>
      </c>
      <c r="D3" s="14"/>
      <c r="E3" s="58"/>
      <c r="F3" s="58"/>
      <c r="G3" s="58"/>
      <c r="H3" s="58"/>
      <c r="I3" s="14"/>
      <c r="J3" s="14"/>
      <c r="K3" s="14"/>
      <c r="L3" s="14"/>
      <c r="M3" s="14"/>
      <c r="N3" s="14"/>
      <c r="O3" s="14"/>
      <c r="P3" s="14"/>
      <c r="Q3" s="14"/>
      <c r="R3" s="14"/>
      <c r="S3" s="57"/>
      <c r="T3" s="57"/>
      <c r="U3" s="69" t="s">
        <v>246</v>
      </c>
    </row>
    <row r="4" spans="2:21" ht="15.75" customHeight="1" x14ac:dyDescent="0.3">
      <c r="B4" s="14"/>
      <c r="C4" s="14" t="s">
        <v>121</v>
      </c>
      <c r="D4" s="14"/>
      <c r="E4" s="59" t="s">
        <v>312</v>
      </c>
      <c r="F4" s="59"/>
      <c r="G4" s="31"/>
      <c r="H4" s="31"/>
      <c r="I4" s="14"/>
      <c r="J4" s="14"/>
      <c r="K4" s="14"/>
      <c r="L4" s="14"/>
      <c r="M4" s="14"/>
      <c r="N4" s="14"/>
      <c r="O4" s="14"/>
      <c r="P4" s="14"/>
      <c r="Q4" s="14"/>
      <c r="R4" s="14"/>
      <c r="S4" s="57"/>
      <c r="T4" s="57"/>
      <c r="U4" s="69" t="s">
        <v>323</v>
      </c>
    </row>
    <row r="5" spans="2:21" ht="15.75" customHeight="1" x14ac:dyDescent="0.3">
      <c r="B5" s="14"/>
      <c r="C5" s="14" t="s">
        <v>308</v>
      </c>
      <c r="D5" s="14"/>
      <c r="E5" s="59"/>
      <c r="F5" s="31" t="s">
        <v>261</v>
      </c>
      <c r="G5" s="31"/>
      <c r="H5" s="75" t="s">
        <v>276</v>
      </c>
      <c r="I5" s="80">
        <f>ROUND(EXP(0.216*E5),2)</f>
        <v>1</v>
      </c>
      <c r="J5" s="14" t="s">
        <v>263</v>
      </c>
      <c r="K5" s="14"/>
      <c r="L5" s="14"/>
      <c r="M5" s="14"/>
      <c r="N5" s="14"/>
      <c r="O5" s="14"/>
      <c r="P5" s="14"/>
      <c r="Q5" s="14"/>
      <c r="R5" s="14"/>
      <c r="S5" s="57"/>
      <c r="T5" s="57"/>
      <c r="U5" s="70" t="s">
        <v>245</v>
      </c>
    </row>
    <row r="6" spans="2:21" ht="15.75" customHeight="1" x14ac:dyDescent="0.3">
      <c r="B6" s="61"/>
      <c r="C6" s="61"/>
      <c r="D6" s="61"/>
      <c r="E6" s="61"/>
      <c r="F6" s="61"/>
      <c r="G6" s="61"/>
      <c r="H6" s="61"/>
      <c r="I6" s="61"/>
      <c r="J6" s="14"/>
      <c r="K6" s="62"/>
      <c r="L6" s="62"/>
      <c r="M6" s="62"/>
      <c r="N6" s="60"/>
      <c r="O6" s="61"/>
      <c r="P6" s="14"/>
      <c r="Q6" s="14"/>
      <c r="R6" s="14"/>
      <c r="S6" s="14"/>
      <c r="T6" s="14"/>
      <c r="U6" s="71" t="s">
        <v>244</v>
      </c>
    </row>
    <row r="7" spans="2:21" ht="15.75" customHeight="1" x14ac:dyDescent="0.3">
      <c r="B7" s="15" t="s">
        <v>123</v>
      </c>
      <c r="C7" s="84" t="s">
        <v>29</v>
      </c>
      <c r="D7" s="85"/>
      <c r="E7" s="85"/>
      <c r="F7" s="86"/>
      <c r="G7" s="15" t="s">
        <v>108</v>
      </c>
      <c r="H7" s="81" t="s">
        <v>13</v>
      </c>
      <c r="I7" s="82" t="s">
        <v>0</v>
      </c>
      <c r="J7" s="15" t="s">
        <v>5</v>
      </c>
      <c r="K7" s="87" t="s">
        <v>30</v>
      </c>
      <c r="L7" s="88"/>
      <c r="M7" s="82" t="s">
        <v>24</v>
      </c>
      <c r="N7" s="15" t="s">
        <v>23</v>
      </c>
      <c r="O7" s="15" t="s">
        <v>126</v>
      </c>
      <c r="P7" s="14"/>
      <c r="Q7" s="14"/>
      <c r="R7" s="14"/>
      <c r="S7" s="14"/>
      <c r="T7" s="14"/>
      <c r="U7" s="69" t="s">
        <v>251</v>
      </c>
    </row>
    <row r="8" spans="2:21" ht="15.75" customHeight="1" x14ac:dyDescent="0.3">
      <c r="B8" s="18"/>
      <c r="C8" s="15" t="s">
        <v>101</v>
      </c>
      <c r="D8" s="89" t="s">
        <v>102</v>
      </c>
      <c r="E8" s="90"/>
      <c r="F8" s="15" t="s">
        <v>103</v>
      </c>
      <c r="G8" s="18"/>
      <c r="H8" s="39" t="s">
        <v>14</v>
      </c>
      <c r="I8" s="18" t="s">
        <v>1</v>
      </c>
      <c r="J8" s="18" t="s">
        <v>107</v>
      </c>
      <c r="K8" s="15" t="s">
        <v>104</v>
      </c>
      <c r="L8" s="15" t="s">
        <v>105</v>
      </c>
      <c r="M8" s="39" t="s">
        <v>27</v>
      </c>
      <c r="N8" s="18" t="s">
        <v>106</v>
      </c>
      <c r="O8" s="18" t="s">
        <v>127</v>
      </c>
      <c r="P8" s="14"/>
      <c r="Q8" s="14"/>
      <c r="R8" s="14"/>
      <c r="S8" s="14"/>
      <c r="T8" s="14"/>
      <c r="U8" s="69" t="s">
        <v>250</v>
      </c>
    </row>
    <row r="9" spans="2:21" ht="15.75" customHeight="1" x14ac:dyDescent="0.3">
      <c r="B9" s="20"/>
      <c r="C9" s="20" t="s">
        <v>3</v>
      </c>
      <c r="D9" s="22" t="s">
        <v>265</v>
      </c>
      <c r="E9" s="22" t="s">
        <v>266</v>
      </c>
      <c r="F9" s="20" t="s">
        <v>12</v>
      </c>
      <c r="G9" s="20"/>
      <c r="H9" s="21" t="s">
        <v>4</v>
      </c>
      <c r="I9" s="20" t="s">
        <v>2</v>
      </c>
      <c r="J9" s="21"/>
      <c r="K9" s="20" t="s">
        <v>3</v>
      </c>
      <c r="L9" s="20" t="s">
        <v>12</v>
      </c>
      <c r="M9" s="21"/>
      <c r="N9" s="20"/>
      <c r="O9" s="20" t="s">
        <v>2</v>
      </c>
      <c r="P9" s="14"/>
      <c r="Q9" s="14"/>
      <c r="R9" s="14"/>
      <c r="S9" s="14"/>
      <c r="T9" s="14"/>
      <c r="U9" s="69" t="s">
        <v>309</v>
      </c>
    </row>
    <row r="10" spans="2:21" ht="15.75" customHeight="1" x14ac:dyDescent="0.3">
      <c r="B10" s="50">
        <v>1</v>
      </c>
      <c r="C10" s="49">
        <v>300</v>
      </c>
      <c r="D10" s="50"/>
      <c r="E10" s="51">
        <v>2.7</v>
      </c>
      <c r="F10" s="52">
        <f t="shared" ref="F10" si="0">IFERROR(ROUND((MAX(D10/60,E10)/60)/(0.785*(C10/1000)^2),3),"-")</f>
        <v>0.63700000000000001</v>
      </c>
      <c r="G10" s="26" t="s">
        <v>209</v>
      </c>
      <c r="H10" s="53">
        <v>1</v>
      </c>
      <c r="I10" s="47" t="s">
        <v>50</v>
      </c>
      <c r="J10" s="27" t="s">
        <v>305</v>
      </c>
      <c r="K10" s="47" t="s">
        <v>50</v>
      </c>
      <c r="L10" s="52" t="str">
        <f t="shared" ref="L10" si="1">IFERROR(ROUND((MAX(D10/60,E10)/60)/(0.785*(K10/1000)^2),3),"-")</f>
        <v>-</v>
      </c>
      <c r="M10" s="54">
        <v>0.5</v>
      </c>
      <c r="N10" s="48">
        <f t="shared" ref="N10" ca="1" si="2">INDIRECT("I5")</f>
        <v>1</v>
      </c>
      <c r="O10" s="28">
        <f t="shared" ref="O10" ca="1" si="3">ROUND(M10*F10^2/(2*9.8)*N10*H10,3)</f>
        <v>0.01</v>
      </c>
      <c r="P10" s="14"/>
      <c r="Q10" s="14"/>
      <c r="R10" s="14"/>
      <c r="S10" s="14"/>
      <c r="T10" s="14"/>
      <c r="U10" s="69"/>
    </row>
    <row r="11" spans="2:21" ht="15.75" customHeight="1" x14ac:dyDescent="0.3">
      <c r="B11" s="50">
        <v>2</v>
      </c>
      <c r="C11" s="49">
        <v>300</v>
      </c>
      <c r="D11" s="50"/>
      <c r="E11" s="51">
        <v>2.7</v>
      </c>
      <c r="F11" s="52">
        <f t="shared" ref="F11:F25" si="4">IFERROR(ROUND((MAX(D11/60,E11)/60)/(0.785*(C11/1000)^2),3),"-")</f>
        <v>0.63700000000000001</v>
      </c>
      <c r="G11" s="26" t="s">
        <v>205</v>
      </c>
      <c r="H11" s="53">
        <v>1</v>
      </c>
      <c r="I11" s="50">
        <v>10</v>
      </c>
      <c r="J11" s="27" t="s">
        <v>304</v>
      </c>
      <c r="K11" s="47" t="s">
        <v>50</v>
      </c>
      <c r="L11" s="52" t="str">
        <f t="shared" ref="L11:L25" si="5">IFERROR(ROUND((MAX(D11/60,E11)/60)/(0.785*(K11/1000)^2),3),"-")</f>
        <v>-</v>
      </c>
      <c r="M11" s="54">
        <f>ROUND(0.018+(1/(2300*(C11/1000))),3)</f>
        <v>1.9E-2</v>
      </c>
      <c r="N11" s="48">
        <f t="shared" ref="N11:N25" ca="1" si="6">INDIRECT("I5")</f>
        <v>1</v>
      </c>
      <c r="O11" s="28">
        <f t="shared" ref="O11:O16" ca="1" si="7">ROUND(M11*(I11/(C11/1000)*F11^2/(2*9.8))*N11*H11,3)</f>
        <v>1.2999999999999999E-2</v>
      </c>
      <c r="P11" s="14"/>
      <c r="Q11" s="14"/>
      <c r="R11" s="14"/>
      <c r="S11" s="14"/>
      <c r="T11" s="14"/>
      <c r="U11" s="69"/>
    </row>
    <row r="12" spans="2:21" ht="15.75" customHeight="1" x14ac:dyDescent="0.3">
      <c r="B12" s="50">
        <v>3</v>
      </c>
      <c r="C12" s="49">
        <v>300</v>
      </c>
      <c r="D12" s="50"/>
      <c r="E12" s="51">
        <v>2.7</v>
      </c>
      <c r="F12" s="52">
        <f t="shared" si="4"/>
        <v>0.63700000000000001</v>
      </c>
      <c r="G12" s="26" t="s">
        <v>236</v>
      </c>
      <c r="H12" s="53">
        <v>1</v>
      </c>
      <c r="I12" s="47" t="s">
        <v>50</v>
      </c>
      <c r="J12" s="27" t="s">
        <v>307</v>
      </c>
      <c r="K12" s="47" t="s">
        <v>50</v>
      </c>
      <c r="L12" s="52" t="str">
        <f t="shared" si="5"/>
        <v>-</v>
      </c>
      <c r="M12" s="54">
        <f>LOOKUP(C12,{0,801,1351},{0.4,0.3,0.2})</f>
        <v>0.4</v>
      </c>
      <c r="N12" s="48">
        <f t="shared" ca="1" si="6"/>
        <v>1</v>
      </c>
      <c r="O12" s="28">
        <f t="shared" ref="O12" ca="1" si="8">ROUND(M12*F12^2/(2*9.8)*N12*H12,3)</f>
        <v>8.0000000000000002E-3</v>
      </c>
      <c r="P12" s="14"/>
      <c r="Q12" s="14"/>
      <c r="R12" s="14"/>
      <c r="S12" s="14"/>
      <c r="T12" s="14"/>
      <c r="U12" s="69"/>
    </row>
    <row r="13" spans="2:21" ht="15.75" customHeight="1" x14ac:dyDescent="0.3">
      <c r="B13" s="50">
        <v>4</v>
      </c>
      <c r="C13" s="49">
        <v>300</v>
      </c>
      <c r="D13" s="50"/>
      <c r="E13" s="51">
        <v>2.7</v>
      </c>
      <c r="F13" s="52">
        <f t="shared" si="4"/>
        <v>0.63700000000000001</v>
      </c>
      <c r="G13" s="26" t="s">
        <v>205</v>
      </c>
      <c r="H13" s="53">
        <v>1</v>
      </c>
      <c r="I13" s="50">
        <v>2.5</v>
      </c>
      <c r="J13" s="27" t="s">
        <v>304</v>
      </c>
      <c r="K13" s="47" t="s">
        <v>50</v>
      </c>
      <c r="L13" s="52" t="str">
        <f t="shared" si="5"/>
        <v>-</v>
      </c>
      <c r="M13" s="54">
        <f>ROUND(0.018+(1/(2300*(C13/1000))),3)</f>
        <v>1.9E-2</v>
      </c>
      <c r="N13" s="48">
        <f t="shared" ca="1" si="6"/>
        <v>1</v>
      </c>
      <c r="O13" s="28">
        <f t="shared" ca="1" si="7"/>
        <v>3.0000000000000001E-3</v>
      </c>
      <c r="P13" s="14"/>
      <c r="Q13" s="14"/>
      <c r="R13" s="14"/>
      <c r="S13" s="14"/>
      <c r="T13" s="14"/>
      <c r="U13" s="69"/>
    </row>
    <row r="14" spans="2:21" ht="15.75" customHeight="1" x14ac:dyDescent="0.3">
      <c r="B14" s="50">
        <v>5</v>
      </c>
      <c r="C14" s="49">
        <v>300</v>
      </c>
      <c r="D14" s="50"/>
      <c r="E14" s="51">
        <v>1.31</v>
      </c>
      <c r="F14" s="52">
        <f t="shared" si="4"/>
        <v>0.309</v>
      </c>
      <c r="G14" s="26" t="s">
        <v>230</v>
      </c>
      <c r="H14" s="53">
        <v>1</v>
      </c>
      <c r="I14" s="47" t="s">
        <v>50</v>
      </c>
      <c r="J14" s="27" t="s">
        <v>307</v>
      </c>
      <c r="K14" s="50">
        <v>125</v>
      </c>
      <c r="L14" s="52">
        <f t="shared" si="5"/>
        <v>1.78</v>
      </c>
      <c r="M14" s="54">
        <v>0.5</v>
      </c>
      <c r="N14" s="48">
        <f t="shared" ca="1" si="6"/>
        <v>1</v>
      </c>
      <c r="O14" s="28">
        <f ca="1">IF(C14&gt;K14,ROUND(M14*L14^2/(2*9.8)*N14*H14,3),"D2を入力")</f>
        <v>8.1000000000000003E-2</v>
      </c>
      <c r="P14" s="14"/>
      <c r="Q14" s="14"/>
      <c r="R14" s="14"/>
      <c r="S14" s="14"/>
      <c r="T14" s="14"/>
      <c r="U14" s="69"/>
    </row>
    <row r="15" spans="2:21" ht="15.75" customHeight="1" x14ac:dyDescent="0.3">
      <c r="B15" s="50">
        <v>6</v>
      </c>
      <c r="C15" s="49">
        <v>125</v>
      </c>
      <c r="D15" s="50"/>
      <c r="E15" s="51">
        <v>1.31</v>
      </c>
      <c r="F15" s="83">
        <f t="shared" si="4"/>
        <v>1.78</v>
      </c>
      <c r="G15" s="26" t="s">
        <v>226</v>
      </c>
      <c r="H15" s="53">
        <v>1</v>
      </c>
      <c r="I15" s="47" t="s">
        <v>50</v>
      </c>
      <c r="J15" s="27" t="s">
        <v>305</v>
      </c>
      <c r="K15" s="47" t="s">
        <v>50</v>
      </c>
      <c r="L15" s="52" t="str">
        <f t="shared" si="5"/>
        <v>-</v>
      </c>
      <c r="M15" s="54">
        <v>0.99</v>
      </c>
      <c r="N15" s="48">
        <f t="shared" ca="1" si="6"/>
        <v>1</v>
      </c>
      <c r="O15" s="28">
        <f t="shared" ref="O15" ca="1" si="9">ROUND(M15*F15^2/(2*9.8)*N15*H15,3)</f>
        <v>0.16</v>
      </c>
      <c r="P15" s="14"/>
      <c r="Q15" s="14"/>
      <c r="R15" s="14"/>
      <c r="S15" s="14"/>
      <c r="T15" s="14"/>
      <c r="U15" s="69"/>
    </row>
    <row r="16" spans="2:21" ht="15.75" customHeight="1" x14ac:dyDescent="0.3">
      <c r="B16" s="50">
        <v>7</v>
      </c>
      <c r="C16" s="49">
        <v>125</v>
      </c>
      <c r="D16" s="50"/>
      <c r="E16" s="51">
        <v>1.31</v>
      </c>
      <c r="F16" s="83">
        <f t="shared" si="4"/>
        <v>1.78</v>
      </c>
      <c r="G16" s="26" t="s">
        <v>205</v>
      </c>
      <c r="H16" s="53">
        <v>1</v>
      </c>
      <c r="I16" s="50">
        <v>3.1</v>
      </c>
      <c r="J16" s="27" t="s">
        <v>304</v>
      </c>
      <c r="K16" s="47" t="s">
        <v>50</v>
      </c>
      <c r="L16" s="52" t="str">
        <f t="shared" si="5"/>
        <v>-</v>
      </c>
      <c r="M16" s="54">
        <f>ROUND(0.018+(1/(2300*(C16/1000))),3)</f>
        <v>2.1000000000000001E-2</v>
      </c>
      <c r="N16" s="48">
        <f t="shared" ca="1" si="6"/>
        <v>1</v>
      </c>
      <c r="O16" s="28">
        <f t="shared" ca="1" si="7"/>
        <v>8.4000000000000005E-2</v>
      </c>
      <c r="P16" s="14"/>
      <c r="Q16" s="14"/>
      <c r="R16" s="14"/>
      <c r="S16" s="14"/>
      <c r="T16" s="14"/>
      <c r="U16" s="69"/>
    </row>
    <row r="17" spans="2:21" ht="15.75" customHeight="1" x14ac:dyDescent="0.3">
      <c r="B17" s="50">
        <v>8</v>
      </c>
      <c r="C17" s="49">
        <v>125</v>
      </c>
      <c r="D17" s="50"/>
      <c r="E17" s="51">
        <v>1.31</v>
      </c>
      <c r="F17" s="83">
        <f t="shared" si="4"/>
        <v>1.78</v>
      </c>
      <c r="G17" s="26" t="s">
        <v>236</v>
      </c>
      <c r="H17" s="53">
        <v>2</v>
      </c>
      <c r="I17" s="47" t="s">
        <v>50</v>
      </c>
      <c r="J17" s="27" t="s">
        <v>307</v>
      </c>
      <c r="K17" s="47" t="s">
        <v>50</v>
      </c>
      <c r="L17" s="52" t="str">
        <f t="shared" si="5"/>
        <v>-</v>
      </c>
      <c r="M17" s="54">
        <f>LOOKUP(C17,{0,801,1351},{0.4,0.3,0.2})</f>
        <v>0.4</v>
      </c>
      <c r="N17" s="48">
        <f t="shared" ca="1" si="6"/>
        <v>1</v>
      </c>
      <c r="O17" s="28">
        <f t="shared" ref="O17:O21" ca="1" si="10">ROUND(M17*F17^2/(2*9.8)*N17*H17,3)</f>
        <v>0.129</v>
      </c>
      <c r="P17" s="14"/>
      <c r="Q17" s="14"/>
      <c r="R17" s="14"/>
      <c r="S17" s="14"/>
      <c r="T17" s="14"/>
      <c r="U17" s="69"/>
    </row>
    <row r="18" spans="2:21" ht="15.75" customHeight="1" x14ac:dyDescent="0.3">
      <c r="B18" s="50">
        <v>9</v>
      </c>
      <c r="C18" s="49">
        <v>125</v>
      </c>
      <c r="D18" s="50"/>
      <c r="E18" s="51">
        <v>1.31</v>
      </c>
      <c r="F18" s="83">
        <f t="shared" si="4"/>
        <v>1.78</v>
      </c>
      <c r="G18" s="26" t="s">
        <v>233</v>
      </c>
      <c r="H18" s="53">
        <v>1</v>
      </c>
      <c r="I18" s="47" t="s">
        <v>50</v>
      </c>
      <c r="J18" s="27" t="s">
        <v>307</v>
      </c>
      <c r="K18" s="47" t="s">
        <v>50</v>
      </c>
      <c r="L18" s="52" t="str">
        <f t="shared" si="5"/>
        <v>-</v>
      </c>
      <c r="M18" s="54">
        <v>1</v>
      </c>
      <c r="N18" s="48">
        <f t="shared" ca="1" si="6"/>
        <v>1</v>
      </c>
      <c r="O18" s="28">
        <f t="shared" ca="1" si="10"/>
        <v>0.16200000000000001</v>
      </c>
      <c r="P18" s="14"/>
      <c r="Q18" s="14"/>
      <c r="R18" s="14"/>
      <c r="S18" s="14"/>
      <c r="T18" s="14"/>
      <c r="U18" s="69"/>
    </row>
    <row r="19" spans="2:21" ht="15.75" customHeight="1" x14ac:dyDescent="0.3">
      <c r="B19" s="50">
        <v>10</v>
      </c>
      <c r="C19" s="49">
        <v>125</v>
      </c>
      <c r="D19" s="50"/>
      <c r="E19" s="51">
        <v>1.31</v>
      </c>
      <c r="F19" s="83">
        <f t="shared" si="4"/>
        <v>1.78</v>
      </c>
      <c r="G19" s="26" t="s">
        <v>214</v>
      </c>
      <c r="H19" s="53">
        <v>1</v>
      </c>
      <c r="I19" s="47" t="s">
        <v>50</v>
      </c>
      <c r="J19" s="27" t="s">
        <v>305</v>
      </c>
      <c r="K19" s="47" t="s">
        <v>50</v>
      </c>
      <c r="L19" s="52" t="str">
        <f t="shared" si="5"/>
        <v>-</v>
      </c>
      <c r="M19" s="54">
        <v>0.3</v>
      </c>
      <c r="N19" s="48">
        <f t="shared" ca="1" si="6"/>
        <v>1</v>
      </c>
      <c r="O19" s="28">
        <f t="shared" ca="1" si="10"/>
        <v>4.8000000000000001E-2</v>
      </c>
      <c r="P19" s="14"/>
      <c r="Q19" s="14"/>
      <c r="R19" s="14"/>
      <c r="S19" s="14"/>
      <c r="T19" s="14"/>
      <c r="U19" s="69"/>
    </row>
    <row r="20" spans="2:21" ht="15.75" customHeight="1" x14ac:dyDescent="0.3">
      <c r="B20" s="50">
        <v>11</v>
      </c>
      <c r="C20" s="49">
        <v>125</v>
      </c>
      <c r="D20" s="50"/>
      <c r="E20" s="51">
        <v>1.31</v>
      </c>
      <c r="F20" s="83">
        <f t="shared" si="4"/>
        <v>1.78</v>
      </c>
      <c r="G20" s="26" t="s">
        <v>228</v>
      </c>
      <c r="H20" s="53">
        <v>1</v>
      </c>
      <c r="I20" s="47" t="s">
        <v>50</v>
      </c>
      <c r="J20" s="27" t="s">
        <v>305</v>
      </c>
      <c r="K20" s="50">
        <v>200</v>
      </c>
      <c r="L20" s="52">
        <f t="shared" si="5"/>
        <v>0.69499999999999995</v>
      </c>
      <c r="M20" s="54">
        <v>1</v>
      </c>
      <c r="N20" s="48">
        <f t="shared" ca="1" si="6"/>
        <v>1</v>
      </c>
      <c r="O20" s="28">
        <f t="shared" ca="1" si="10"/>
        <v>0.16200000000000001</v>
      </c>
      <c r="P20" s="14"/>
      <c r="Q20" s="14"/>
      <c r="R20" s="14"/>
      <c r="S20" s="14"/>
      <c r="T20" s="14"/>
      <c r="U20" s="69"/>
    </row>
    <row r="21" spans="2:21" ht="15.75" customHeight="1" x14ac:dyDescent="0.3">
      <c r="B21" s="50">
        <v>12</v>
      </c>
      <c r="C21" s="49">
        <v>125</v>
      </c>
      <c r="D21" s="50"/>
      <c r="E21" s="51">
        <v>1.31</v>
      </c>
      <c r="F21" s="83">
        <f t="shared" si="4"/>
        <v>1.78</v>
      </c>
      <c r="G21" s="26" t="s">
        <v>226</v>
      </c>
      <c r="H21" s="53">
        <v>1</v>
      </c>
      <c r="I21" s="47" t="s">
        <v>50</v>
      </c>
      <c r="J21" s="27" t="s">
        <v>305</v>
      </c>
      <c r="K21" s="47" t="s">
        <v>50</v>
      </c>
      <c r="L21" s="52" t="str">
        <f t="shared" si="5"/>
        <v>-</v>
      </c>
      <c r="M21" s="54">
        <v>0.99</v>
      </c>
      <c r="N21" s="48">
        <f t="shared" ca="1" si="6"/>
        <v>1</v>
      </c>
      <c r="O21" s="28">
        <f t="shared" ca="1" si="10"/>
        <v>0.16</v>
      </c>
      <c r="P21" s="14"/>
      <c r="Q21" s="14"/>
      <c r="R21" s="14"/>
      <c r="S21" s="14"/>
      <c r="T21" s="14"/>
      <c r="U21" s="69"/>
    </row>
    <row r="22" spans="2:21" ht="15.75" customHeight="1" x14ac:dyDescent="0.3">
      <c r="B22" s="50">
        <v>13</v>
      </c>
      <c r="C22" s="49">
        <v>200</v>
      </c>
      <c r="D22" s="50"/>
      <c r="E22" s="51">
        <v>2.62</v>
      </c>
      <c r="F22" s="52">
        <f t="shared" si="4"/>
        <v>1.391</v>
      </c>
      <c r="G22" s="26" t="s">
        <v>205</v>
      </c>
      <c r="H22" s="53">
        <v>1</v>
      </c>
      <c r="I22" s="50">
        <v>250</v>
      </c>
      <c r="J22" s="27" t="s">
        <v>304</v>
      </c>
      <c r="K22" s="47" t="s">
        <v>50</v>
      </c>
      <c r="L22" s="52" t="str">
        <f t="shared" si="5"/>
        <v>-</v>
      </c>
      <c r="M22" s="54">
        <f>ROUND(0.018+(1/(2300*(C22/1000))),3)</f>
        <v>0.02</v>
      </c>
      <c r="N22" s="48">
        <f t="shared" ca="1" si="6"/>
        <v>1</v>
      </c>
      <c r="O22" s="28">
        <f t="shared" ref="O22" ca="1" si="11">ROUND(M22*(I22/(C22/1000)*F22^2/(2*9.8))*N22*H22,3)</f>
        <v>2.468</v>
      </c>
      <c r="P22" s="14"/>
      <c r="Q22" s="14"/>
      <c r="R22" s="14"/>
      <c r="S22" s="14"/>
      <c r="T22" s="14"/>
      <c r="U22" s="69"/>
    </row>
    <row r="23" spans="2:21" ht="15.75" customHeight="1" x14ac:dyDescent="0.3">
      <c r="B23" s="50">
        <v>14</v>
      </c>
      <c r="C23" s="49">
        <v>200</v>
      </c>
      <c r="D23" s="50"/>
      <c r="E23" s="51">
        <v>2.62</v>
      </c>
      <c r="F23" s="52">
        <f t="shared" si="4"/>
        <v>1.391</v>
      </c>
      <c r="G23" s="26" t="s">
        <v>214</v>
      </c>
      <c r="H23" s="53">
        <v>17</v>
      </c>
      <c r="I23" s="47" t="s">
        <v>50</v>
      </c>
      <c r="J23" s="27" t="s">
        <v>305</v>
      </c>
      <c r="K23" s="47" t="s">
        <v>50</v>
      </c>
      <c r="L23" s="52" t="str">
        <f t="shared" si="5"/>
        <v>-</v>
      </c>
      <c r="M23" s="54">
        <v>0.3</v>
      </c>
      <c r="N23" s="48">
        <f t="shared" ca="1" si="6"/>
        <v>1</v>
      </c>
      <c r="O23" s="28">
        <f t="shared" ref="O23:O25" ca="1" si="12">ROUND(M23*F23^2/(2*9.8)*N23*H23,3)</f>
        <v>0.503</v>
      </c>
      <c r="P23" s="14"/>
      <c r="Q23" s="14"/>
      <c r="R23" s="14"/>
      <c r="S23" s="14"/>
      <c r="T23" s="14"/>
      <c r="U23" s="69"/>
    </row>
    <row r="24" spans="2:21" ht="15.75" customHeight="1" x14ac:dyDescent="0.3">
      <c r="B24" s="50">
        <v>15</v>
      </c>
      <c r="C24" s="49">
        <v>200</v>
      </c>
      <c r="D24" s="50"/>
      <c r="E24" s="51">
        <v>2.62</v>
      </c>
      <c r="F24" s="52">
        <f t="shared" si="4"/>
        <v>1.391</v>
      </c>
      <c r="G24" s="26" t="s">
        <v>236</v>
      </c>
      <c r="H24" s="53">
        <v>2</v>
      </c>
      <c r="I24" s="47" t="s">
        <v>50</v>
      </c>
      <c r="J24" s="27" t="s">
        <v>307</v>
      </c>
      <c r="K24" s="47" t="s">
        <v>50</v>
      </c>
      <c r="L24" s="52" t="str">
        <f t="shared" si="5"/>
        <v>-</v>
      </c>
      <c r="M24" s="54">
        <f>LOOKUP(C24,{0,801,1351},{0.4,0.3,0.2})</f>
        <v>0.4</v>
      </c>
      <c r="N24" s="48">
        <f t="shared" ca="1" si="6"/>
        <v>1</v>
      </c>
      <c r="O24" s="28">
        <f t="shared" ca="1" si="12"/>
        <v>7.9000000000000001E-2</v>
      </c>
      <c r="P24" s="14"/>
      <c r="Q24" s="14"/>
      <c r="R24" s="14"/>
      <c r="S24" s="14"/>
      <c r="T24" s="14"/>
      <c r="U24" s="69"/>
    </row>
    <row r="25" spans="2:21" ht="15.75" customHeight="1" x14ac:dyDescent="0.3">
      <c r="B25" s="50">
        <v>16</v>
      </c>
      <c r="C25" s="49">
        <v>200</v>
      </c>
      <c r="D25" s="50"/>
      <c r="E25" s="51">
        <v>2.62</v>
      </c>
      <c r="F25" s="52">
        <f t="shared" si="4"/>
        <v>1.391</v>
      </c>
      <c r="G25" s="26" t="s">
        <v>232</v>
      </c>
      <c r="H25" s="53">
        <v>1</v>
      </c>
      <c r="I25" s="47" t="s">
        <v>50</v>
      </c>
      <c r="J25" s="27" t="s">
        <v>307</v>
      </c>
      <c r="K25" s="47" t="s">
        <v>50</v>
      </c>
      <c r="L25" s="52" t="str">
        <f t="shared" si="5"/>
        <v>-</v>
      </c>
      <c r="M25" s="54">
        <v>1</v>
      </c>
      <c r="N25" s="48">
        <f t="shared" ca="1" si="6"/>
        <v>1</v>
      </c>
      <c r="O25" s="28">
        <f t="shared" ca="1" si="12"/>
        <v>9.9000000000000005E-2</v>
      </c>
      <c r="P25" s="14"/>
      <c r="Q25" s="14"/>
      <c r="R25" s="14"/>
      <c r="S25" s="14"/>
      <c r="T25" s="14"/>
      <c r="U25" s="69"/>
    </row>
    <row r="26" spans="2:21" ht="15.75" customHeight="1" x14ac:dyDescent="0.3">
      <c r="B26" s="50"/>
      <c r="C26" s="49"/>
      <c r="D26" s="50"/>
      <c r="E26" s="51"/>
      <c r="F26" s="50"/>
      <c r="G26" s="29"/>
      <c r="H26" s="53"/>
      <c r="I26" s="50"/>
      <c r="J26" s="30"/>
      <c r="K26" s="50"/>
      <c r="L26" s="50"/>
      <c r="M26" s="53"/>
      <c r="N26" s="50"/>
      <c r="O26" s="63"/>
    </row>
    <row r="27" spans="2:21" ht="15.75" customHeight="1" x14ac:dyDescent="0.3">
      <c r="B27" s="50"/>
      <c r="C27" s="49"/>
      <c r="D27" s="50"/>
      <c r="E27" s="51"/>
      <c r="F27" s="50"/>
      <c r="G27" s="29"/>
      <c r="H27" s="53"/>
      <c r="I27" s="50"/>
      <c r="J27" s="30"/>
      <c r="K27" s="50"/>
      <c r="L27" s="50"/>
      <c r="M27" s="53"/>
      <c r="N27" s="50"/>
      <c r="O27" s="63"/>
    </row>
    <row r="28" spans="2:21" ht="15.75" customHeight="1" x14ac:dyDescent="0.3">
      <c r="B28" s="50"/>
      <c r="C28" s="49"/>
      <c r="D28" s="50"/>
      <c r="E28" s="51"/>
      <c r="F28" s="50"/>
      <c r="G28" s="29"/>
      <c r="H28" s="53"/>
      <c r="I28" s="50"/>
      <c r="J28" s="30"/>
      <c r="K28" s="50"/>
      <c r="L28" s="50"/>
      <c r="M28" s="53"/>
      <c r="N28" s="50"/>
      <c r="O28" s="63"/>
      <c r="U28" s="65"/>
    </row>
    <row r="29" spans="2:21" ht="15.75" customHeight="1" x14ac:dyDescent="0.3"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72" t="s">
        <v>273</v>
      </c>
      <c r="O29" s="64">
        <f ca="1">SUM(INDIRECT("O10:O"&amp;ROW()-1))</f>
        <v>4.1690000000000005</v>
      </c>
      <c r="U29" s="91"/>
    </row>
    <row r="30" spans="2:21" ht="15.75" customHeight="1" x14ac:dyDescent="0.3"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73" t="s">
        <v>274</v>
      </c>
      <c r="O30" s="66">
        <v>0</v>
      </c>
      <c r="U30" s="91"/>
    </row>
    <row r="31" spans="2:21" ht="15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73" t="s">
        <v>136</v>
      </c>
      <c r="O31" s="66">
        <v>5</v>
      </c>
      <c r="U31" s="91"/>
    </row>
    <row r="32" spans="2:21" ht="15.75" customHeight="1" x14ac:dyDescent="0.3">
      <c r="B32" s="38"/>
      <c r="C32" s="38"/>
      <c r="D32" s="38"/>
      <c r="E32" s="38"/>
      <c r="F32" s="38"/>
      <c r="G32" s="74"/>
      <c r="H32" s="38"/>
      <c r="I32" s="38"/>
      <c r="J32" s="38"/>
      <c r="K32" s="38"/>
      <c r="L32" s="38"/>
      <c r="M32" s="38"/>
      <c r="N32" s="73" t="s">
        <v>137</v>
      </c>
      <c r="O32" s="67">
        <f ca="1">SUM(O29:O31)</f>
        <v>9.1690000000000005</v>
      </c>
      <c r="U32" s="91"/>
    </row>
    <row r="33" spans="5:6" ht="15.75" customHeight="1" x14ac:dyDescent="0.3">
      <c r="E33" s="38"/>
      <c r="F33" s="38"/>
    </row>
    <row r="34" spans="5:6" ht="15.75" customHeight="1" x14ac:dyDescent="0.3">
      <c r="E34" s="38"/>
      <c r="F34" s="38"/>
    </row>
    <row r="35" spans="5:6" ht="15.75" customHeight="1" x14ac:dyDescent="0.3">
      <c r="E35" s="38"/>
      <c r="F35" s="38"/>
    </row>
    <row r="36" spans="5:6" ht="15.75" customHeight="1" x14ac:dyDescent="0.3">
      <c r="E36" s="38"/>
      <c r="F36" s="38"/>
    </row>
    <row r="37" spans="5:6" ht="15.75" customHeight="1" x14ac:dyDescent="0.3">
      <c r="E37" s="38"/>
      <c r="F37" s="38"/>
    </row>
    <row r="38" spans="5:6" ht="15.75" customHeight="1" x14ac:dyDescent="0.3">
      <c r="E38" s="38"/>
      <c r="F38" s="38"/>
    </row>
    <row r="39" spans="5:6" ht="15.75" customHeight="1" x14ac:dyDescent="0.3">
      <c r="E39" s="38"/>
      <c r="F39" s="38"/>
    </row>
    <row r="40" spans="5:6" ht="15.75" customHeight="1" x14ac:dyDescent="0.3">
      <c r="E40" s="38"/>
      <c r="F40" s="38"/>
    </row>
  </sheetData>
  <dataConsolidate/>
  <mergeCells count="4">
    <mergeCell ref="C7:F7"/>
    <mergeCell ref="K7:L7"/>
    <mergeCell ref="D8:E8"/>
    <mergeCell ref="U29:U32"/>
  </mergeCells>
  <phoneticPr fontId="1"/>
  <pageMargins left="0.23622047244094485" right="0.23622047244094485" top="0.51181102362204722" bottom="0.39370078740157477" header="0.39370078740157477" footer="0.39370078740157477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FormShow">
                <anchor moveWithCells="1" sizeWithCells="1">
                  <from>
                    <xdr:col>17</xdr:col>
                    <xdr:colOff>257175</xdr:colOff>
                    <xdr:row>1</xdr:row>
                    <xdr:rowOff>180975</xdr:rowOff>
                  </from>
                  <to>
                    <xdr:col>19</xdr:col>
                    <xdr:colOff>219075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Y72"/>
  <sheetViews>
    <sheetView topLeftCell="H1" workbookViewId="0">
      <selection activeCell="Y18" sqref="Y18"/>
    </sheetView>
  </sheetViews>
  <sheetFormatPr defaultRowHeight="15" customHeight="1" x14ac:dyDescent="0.3"/>
  <cols>
    <col min="1" max="1" width="4.625" style="14" customWidth="1"/>
    <col min="2" max="2" width="22.625" style="14" customWidth="1"/>
    <col min="3" max="4" width="5.625" style="14" customWidth="1"/>
    <col min="5" max="5" width="8.625" style="14" customWidth="1"/>
    <col min="6" max="6" width="5.625" style="14" customWidth="1"/>
    <col min="7" max="10" width="7.625" style="14" customWidth="1"/>
    <col min="11" max="11" width="23.625" style="14" customWidth="1"/>
    <col min="12" max="12" width="5.625" style="14" customWidth="1"/>
    <col min="13" max="13" width="7.625" style="14" customWidth="1"/>
    <col min="14" max="14" width="22.625" style="14" customWidth="1"/>
    <col min="15" max="19" width="7.625" style="14" customWidth="1"/>
    <col min="20" max="25" width="5.625" style="14" customWidth="1"/>
    <col min="26" max="16384" width="9" style="14"/>
  </cols>
  <sheetData>
    <row r="1" spans="1:25" ht="15" customHeight="1" x14ac:dyDescent="0.3">
      <c r="A1" s="14">
        <v>1</v>
      </c>
      <c r="B1" s="14">
        <v>2</v>
      </c>
      <c r="C1" s="14">
        <v>3</v>
      </c>
      <c r="D1" s="14">
        <v>4</v>
      </c>
      <c r="E1" s="14">
        <v>5</v>
      </c>
      <c r="F1" s="14">
        <v>6</v>
      </c>
      <c r="G1" s="14">
        <v>7</v>
      </c>
      <c r="H1" s="14">
        <v>8</v>
      </c>
      <c r="I1" s="14">
        <v>9</v>
      </c>
      <c r="J1" s="14">
        <v>10</v>
      </c>
      <c r="K1" s="14">
        <v>11</v>
      </c>
      <c r="L1" s="14">
        <v>12</v>
      </c>
      <c r="M1" s="14">
        <v>13</v>
      </c>
      <c r="N1" s="14">
        <v>14</v>
      </c>
      <c r="O1" s="14">
        <v>15</v>
      </c>
      <c r="P1" s="14">
        <v>16</v>
      </c>
      <c r="Q1" s="14">
        <v>17</v>
      </c>
      <c r="R1" s="14">
        <v>18</v>
      </c>
      <c r="S1" s="14">
        <v>19</v>
      </c>
      <c r="T1" s="14">
        <v>20</v>
      </c>
      <c r="U1" s="14">
        <v>21</v>
      </c>
      <c r="V1" s="14">
        <v>22</v>
      </c>
      <c r="W1" s="14">
        <v>23</v>
      </c>
      <c r="X1" s="14">
        <v>24</v>
      </c>
      <c r="Y1" s="14">
        <v>25</v>
      </c>
    </row>
    <row r="2" spans="1:25" ht="15" customHeight="1" x14ac:dyDescent="0.3">
      <c r="A2" s="14" t="s">
        <v>310</v>
      </c>
    </row>
    <row r="5" spans="1:25" ht="15" customHeight="1" x14ac:dyDescent="0.3">
      <c r="A5" s="87" t="s">
        <v>288</v>
      </c>
      <c r="B5" s="95"/>
      <c r="C5" s="95"/>
      <c r="D5" s="95"/>
      <c r="E5" s="88"/>
      <c r="F5" s="84" t="s">
        <v>289</v>
      </c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6"/>
      <c r="T5" s="92" t="s">
        <v>287</v>
      </c>
      <c r="U5" s="93"/>
      <c r="V5" s="93"/>
      <c r="W5" s="93"/>
      <c r="X5" s="93"/>
      <c r="Y5" s="94"/>
    </row>
    <row r="6" spans="1:25" ht="15" customHeight="1" x14ac:dyDescent="0.3">
      <c r="A6" s="78"/>
      <c r="B6" s="78"/>
      <c r="C6" s="78"/>
      <c r="D6" s="78"/>
      <c r="E6" s="78"/>
      <c r="F6" s="79" t="s">
        <v>249</v>
      </c>
      <c r="G6" s="43"/>
      <c r="H6" s="43"/>
      <c r="I6" s="43"/>
      <c r="J6" s="43"/>
      <c r="K6" s="31"/>
      <c r="L6" s="43"/>
      <c r="M6" s="43"/>
      <c r="N6" s="43"/>
      <c r="O6" s="43"/>
      <c r="P6" s="43"/>
      <c r="Q6" s="43"/>
      <c r="R6" s="43"/>
      <c r="S6" s="43"/>
      <c r="W6" s="57" t="s">
        <v>113</v>
      </c>
      <c r="X6" s="57"/>
      <c r="Y6" s="57" t="s">
        <v>318</v>
      </c>
    </row>
    <row r="7" spans="1:25" ht="15" customHeight="1" x14ac:dyDescent="0.3">
      <c r="A7" s="19"/>
      <c r="B7" s="19"/>
      <c r="C7" s="19"/>
      <c r="D7" s="19"/>
      <c r="E7" s="19"/>
      <c r="F7" s="68"/>
      <c r="K7" s="60"/>
      <c r="W7" s="57"/>
      <c r="X7" s="57"/>
      <c r="Y7" s="69" t="s">
        <v>264</v>
      </c>
    </row>
    <row r="8" spans="1:25" ht="15" customHeight="1" x14ac:dyDescent="0.3">
      <c r="A8" s="19"/>
      <c r="B8" s="19"/>
      <c r="C8" s="19"/>
      <c r="D8" s="19"/>
      <c r="E8" s="19"/>
      <c r="G8" s="14" t="s">
        <v>122</v>
      </c>
      <c r="I8" s="58"/>
      <c r="J8" s="58"/>
      <c r="K8" s="58"/>
      <c r="L8" s="58"/>
      <c r="W8" s="57"/>
      <c r="X8" s="57"/>
      <c r="Y8" s="69" t="s">
        <v>246</v>
      </c>
    </row>
    <row r="9" spans="1:25" ht="15" customHeight="1" x14ac:dyDescent="0.3">
      <c r="A9" s="19"/>
      <c r="B9" s="19"/>
      <c r="C9" s="19"/>
      <c r="D9" s="19"/>
      <c r="E9" s="19"/>
      <c r="G9" s="14" t="s">
        <v>121</v>
      </c>
      <c r="I9" s="59"/>
      <c r="J9" s="59"/>
      <c r="K9" s="31"/>
      <c r="L9" s="31"/>
      <c r="W9" s="57"/>
      <c r="X9" s="57"/>
      <c r="Y9" s="69" t="s">
        <v>323</v>
      </c>
    </row>
    <row r="10" spans="1:25" ht="15" customHeight="1" x14ac:dyDescent="0.3">
      <c r="A10" s="19"/>
      <c r="B10" s="19"/>
      <c r="C10" s="19"/>
      <c r="D10" s="19"/>
      <c r="E10" s="19"/>
      <c r="G10" s="14" t="s">
        <v>308</v>
      </c>
      <c r="I10" s="59"/>
      <c r="J10" s="31" t="s">
        <v>261</v>
      </c>
      <c r="K10" s="31"/>
      <c r="L10" s="75" t="s">
        <v>276</v>
      </c>
      <c r="M10" s="80">
        <f>ROUND(EXP(0.216*I10),2)</f>
        <v>1</v>
      </c>
      <c r="N10" s="14" t="s">
        <v>263</v>
      </c>
      <c r="W10" s="57"/>
      <c r="X10" s="57"/>
      <c r="Y10" s="70" t="s">
        <v>245</v>
      </c>
    </row>
    <row r="11" spans="1:25" ht="15" customHeight="1" x14ac:dyDescent="0.3">
      <c r="A11" s="21"/>
      <c r="B11" s="21"/>
      <c r="C11" s="21"/>
      <c r="D11" s="21"/>
      <c r="E11" s="21"/>
      <c r="F11" s="61"/>
      <c r="G11" s="61"/>
      <c r="H11" s="61"/>
      <c r="I11" s="61"/>
      <c r="J11" s="61"/>
      <c r="K11" s="61"/>
      <c r="L11" s="61"/>
      <c r="M11" s="61"/>
      <c r="O11" s="62"/>
      <c r="P11" s="62"/>
      <c r="Q11" s="62"/>
      <c r="R11" s="60"/>
      <c r="S11" s="61"/>
      <c r="Y11" s="71" t="s">
        <v>244</v>
      </c>
    </row>
    <row r="12" spans="1:25" ht="15" customHeight="1" x14ac:dyDescent="0.3">
      <c r="A12" s="84" t="s">
        <v>292</v>
      </c>
      <c r="B12" s="85"/>
      <c r="C12" s="77"/>
      <c r="D12" s="87" t="s">
        <v>290</v>
      </c>
      <c r="E12" s="88"/>
      <c r="F12" s="15" t="s">
        <v>123</v>
      </c>
      <c r="G12" s="84" t="s">
        <v>29</v>
      </c>
      <c r="H12" s="85"/>
      <c r="I12" s="85"/>
      <c r="J12" s="86"/>
      <c r="K12" s="15" t="s">
        <v>108</v>
      </c>
      <c r="L12" s="16" t="s">
        <v>13</v>
      </c>
      <c r="M12" s="17" t="s">
        <v>0</v>
      </c>
      <c r="N12" s="15" t="s">
        <v>5</v>
      </c>
      <c r="O12" s="87" t="s">
        <v>30</v>
      </c>
      <c r="P12" s="88"/>
      <c r="Q12" s="17" t="s">
        <v>24</v>
      </c>
      <c r="R12" s="15" t="s">
        <v>23</v>
      </c>
      <c r="S12" s="15" t="s">
        <v>126</v>
      </c>
      <c r="Y12" s="69" t="s">
        <v>251</v>
      </c>
    </row>
    <row r="13" spans="1:25" ht="15" customHeight="1" x14ac:dyDescent="0.3">
      <c r="A13" s="23" t="s">
        <v>292</v>
      </c>
      <c r="B13" s="15" t="s">
        <v>291</v>
      </c>
      <c r="C13" s="76" t="s">
        <v>277</v>
      </c>
      <c r="D13" s="23" t="s">
        <v>290</v>
      </c>
      <c r="E13" s="15" t="s">
        <v>303</v>
      </c>
      <c r="F13" s="18"/>
      <c r="G13" s="15" t="s">
        <v>101</v>
      </c>
      <c r="H13" s="89" t="s">
        <v>102</v>
      </c>
      <c r="I13" s="90"/>
      <c r="J13" s="15" t="s">
        <v>103</v>
      </c>
      <c r="K13" s="18"/>
      <c r="L13" s="39" t="s">
        <v>14</v>
      </c>
      <c r="M13" s="18" t="s">
        <v>1</v>
      </c>
      <c r="N13" s="18" t="s">
        <v>107</v>
      </c>
      <c r="O13" s="15" t="s">
        <v>104</v>
      </c>
      <c r="P13" s="15" t="s">
        <v>105</v>
      </c>
      <c r="Q13" s="39" t="s">
        <v>27</v>
      </c>
      <c r="R13" s="18" t="s">
        <v>106</v>
      </c>
      <c r="S13" s="18" t="s">
        <v>127</v>
      </c>
      <c r="Y13" s="69" t="s">
        <v>250</v>
      </c>
    </row>
    <row r="14" spans="1:25" ht="15" customHeight="1" x14ac:dyDescent="0.3">
      <c r="A14" s="24" t="s">
        <v>167</v>
      </c>
      <c r="B14" s="20"/>
      <c r="C14" s="24" t="s">
        <v>281</v>
      </c>
      <c r="D14" s="24" t="s">
        <v>167</v>
      </c>
      <c r="E14" s="20"/>
      <c r="F14" s="20"/>
      <c r="G14" s="20" t="s">
        <v>3</v>
      </c>
      <c r="H14" s="22" t="s">
        <v>265</v>
      </c>
      <c r="I14" s="22" t="s">
        <v>266</v>
      </c>
      <c r="J14" s="20" t="s">
        <v>12</v>
      </c>
      <c r="K14" s="20"/>
      <c r="L14" s="21" t="s">
        <v>4</v>
      </c>
      <c r="M14" s="20" t="s">
        <v>2</v>
      </c>
      <c r="N14" s="21"/>
      <c r="O14" s="20" t="s">
        <v>3</v>
      </c>
      <c r="P14" s="20" t="s">
        <v>12</v>
      </c>
      <c r="Q14" s="21"/>
      <c r="R14" s="20"/>
      <c r="S14" s="20" t="s">
        <v>2</v>
      </c>
      <c r="Y14" s="69" t="s">
        <v>309</v>
      </c>
    </row>
    <row r="15" spans="1:25" ht="15" customHeight="1" x14ac:dyDescent="0.3">
      <c r="A15" s="31">
        <v>1</v>
      </c>
      <c r="B15" s="32" t="s">
        <v>8</v>
      </c>
      <c r="C15" s="33">
        <v>1</v>
      </c>
      <c r="D15" s="33">
        <v>1</v>
      </c>
      <c r="E15" s="32" t="s">
        <v>115</v>
      </c>
      <c r="F15" s="49"/>
      <c r="G15" s="49"/>
      <c r="H15" s="49"/>
      <c r="I15" s="51"/>
      <c r="J15" s="52" t="str">
        <f t="shared" ref="J15:J56" si="0">IFERROR(ROUND((MAX(H15/60,I15)/60)/(0.785*(G15/1000)^2),3),"-")</f>
        <v>-</v>
      </c>
      <c r="K15" s="40" t="s">
        <v>203</v>
      </c>
      <c r="L15" s="55"/>
      <c r="M15" s="49"/>
      <c r="N15" s="27" t="s">
        <v>304</v>
      </c>
      <c r="O15" s="52" t="s">
        <v>50</v>
      </c>
      <c r="P15" s="52" t="str">
        <f>IFERROR(ROUND((MAX(H15/60,I15)/60)/(0.785*(O15/1000)^2),3),"-")</f>
        <v>-</v>
      </c>
      <c r="Q15" s="56" t="e">
        <f>ROUND(0.02+(1/(2000*(G15/1000))),3)</f>
        <v>#DIV/0!</v>
      </c>
      <c r="R15" s="48">
        <f ca="1">INDIRECT("I5")</f>
        <v>0</v>
      </c>
      <c r="S15" s="41" t="e">
        <f t="shared" ref="S15:S20" ca="1" si="1">ROUND(Q15*(M15/(G15/1000)*J15^2/(2*9.8))*R15*L15,3)</f>
        <v>#DIV/0!</v>
      </c>
    </row>
    <row r="16" spans="1:25" ht="15" customHeight="1" x14ac:dyDescent="0.3">
      <c r="A16" s="31">
        <v>2</v>
      </c>
      <c r="B16" s="32" t="s">
        <v>7</v>
      </c>
      <c r="C16" s="33">
        <v>1</v>
      </c>
      <c r="D16" s="33">
        <v>1</v>
      </c>
      <c r="E16" s="32" t="s">
        <v>115</v>
      </c>
      <c r="F16" s="50"/>
      <c r="G16" s="49"/>
      <c r="H16" s="50"/>
      <c r="I16" s="51"/>
      <c r="J16" s="52" t="str">
        <f t="shared" si="0"/>
        <v>-</v>
      </c>
      <c r="K16" s="26" t="s">
        <v>204</v>
      </c>
      <c r="L16" s="53"/>
      <c r="M16" s="50"/>
      <c r="N16" s="27" t="s">
        <v>304</v>
      </c>
      <c r="O16" s="47" t="s">
        <v>50</v>
      </c>
      <c r="P16" s="52" t="str">
        <f t="shared" ref="P16:P50" si="2">IFERROR(ROUND((MAX(H16/60,I16)/60)/(0.785*(O16/1000)^2),3),"-")</f>
        <v>-</v>
      </c>
      <c r="Q16" s="54" t="e">
        <f>ROUND(0.03+(1/(1000*(G16/1000))),3)</f>
        <v>#DIV/0!</v>
      </c>
      <c r="R16" s="48">
        <f t="shared" ref="R16:R56" ca="1" si="3">INDIRECT("I5")</f>
        <v>0</v>
      </c>
      <c r="S16" s="28" t="e">
        <f t="shared" ca="1" si="1"/>
        <v>#DIV/0!</v>
      </c>
    </row>
    <row r="17" spans="1:19" ht="15" customHeight="1" x14ac:dyDescent="0.3">
      <c r="A17" s="31">
        <v>3</v>
      </c>
      <c r="B17" s="32" t="s">
        <v>9</v>
      </c>
      <c r="C17" s="33">
        <v>1</v>
      </c>
      <c r="D17" s="33">
        <v>1</v>
      </c>
      <c r="E17" s="32" t="s">
        <v>115</v>
      </c>
      <c r="F17" s="50"/>
      <c r="G17" s="49"/>
      <c r="H17" s="50"/>
      <c r="I17" s="51"/>
      <c r="J17" s="52" t="str">
        <f t="shared" si="0"/>
        <v>-</v>
      </c>
      <c r="K17" s="26" t="s">
        <v>205</v>
      </c>
      <c r="L17" s="53"/>
      <c r="M17" s="50"/>
      <c r="N17" s="27" t="s">
        <v>304</v>
      </c>
      <c r="O17" s="47" t="s">
        <v>50</v>
      </c>
      <c r="P17" s="52" t="str">
        <f t="shared" si="2"/>
        <v>-</v>
      </c>
      <c r="Q17" s="54" t="e">
        <f>ROUND(0.018+(1/(2300*(G17/1000))),3)</f>
        <v>#DIV/0!</v>
      </c>
      <c r="R17" s="48">
        <f t="shared" ca="1" si="3"/>
        <v>0</v>
      </c>
      <c r="S17" s="28" t="e">
        <f t="shared" ca="1" si="1"/>
        <v>#DIV/0!</v>
      </c>
    </row>
    <row r="18" spans="1:19" ht="15" customHeight="1" x14ac:dyDescent="0.3">
      <c r="A18" s="31">
        <v>4</v>
      </c>
      <c r="B18" s="32" t="s">
        <v>267</v>
      </c>
      <c r="C18" s="33">
        <v>1</v>
      </c>
      <c r="D18" s="33">
        <v>1</v>
      </c>
      <c r="E18" s="32" t="s">
        <v>115</v>
      </c>
      <c r="F18" s="50"/>
      <c r="G18" s="49"/>
      <c r="H18" s="50"/>
      <c r="I18" s="51"/>
      <c r="J18" s="52" t="str">
        <f>IFERROR(ROUND((MAX(H18/60,I18)/60)/(0.785*(G18/1000)^2),3),"-")</f>
        <v>-</v>
      </c>
      <c r="K18" s="26" t="s">
        <v>268</v>
      </c>
      <c r="L18" s="53"/>
      <c r="M18" s="50"/>
      <c r="N18" s="27" t="s">
        <v>304</v>
      </c>
      <c r="O18" s="47" t="s">
        <v>50</v>
      </c>
      <c r="P18" s="52" t="str">
        <f>IFERROR(ROUND((MAX(H18/60,I18)/60)/(0.785*(O18/1000)^2),3),"-")</f>
        <v>-</v>
      </c>
      <c r="Q18" s="54" t="e">
        <f>ROUND(0.018+(1/(2300*(G18/1000))),3)</f>
        <v>#DIV/0!</v>
      </c>
      <c r="R18" s="48">
        <f t="shared" ca="1" si="3"/>
        <v>0</v>
      </c>
      <c r="S18" s="28" t="e">
        <f t="shared" ca="1" si="1"/>
        <v>#DIV/0!</v>
      </c>
    </row>
    <row r="19" spans="1:19" ht="15" customHeight="1" x14ac:dyDescent="0.3">
      <c r="A19" s="31">
        <v>5</v>
      </c>
      <c r="B19" s="32" t="s">
        <v>134</v>
      </c>
      <c r="C19" s="33">
        <v>1</v>
      </c>
      <c r="D19" s="33">
        <v>1</v>
      </c>
      <c r="E19" s="32" t="s">
        <v>115</v>
      </c>
      <c r="F19" s="50"/>
      <c r="G19" s="49"/>
      <c r="H19" s="50"/>
      <c r="I19" s="51"/>
      <c r="J19" s="52" t="str">
        <f t="shared" si="0"/>
        <v>-</v>
      </c>
      <c r="K19" s="26" t="s">
        <v>206</v>
      </c>
      <c r="L19" s="53"/>
      <c r="M19" s="50"/>
      <c r="N19" s="27" t="s">
        <v>304</v>
      </c>
      <c r="O19" s="47" t="s">
        <v>50</v>
      </c>
      <c r="P19" s="52" t="str">
        <f t="shared" si="2"/>
        <v>-</v>
      </c>
      <c r="Q19" s="54" t="e">
        <f>ROUND(1.5*(0.02+(1/(2000*(G19/1000)))),3)</f>
        <v>#DIV/0!</v>
      </c>
      <c r="R19" s="48">
        <f t="shared" ca="1" si="3"/>
        <v>0</v>
      </c>
      <c r="S19" s="28" t="e">
        <f t="shared" ca="1" si="1"/>
        <v>#DIV/0!</v>
      </c>
    </row>
    <row r="20" spans="1:19" ht="15" customHeight="1" x14ac:dyDescent="0.3">
      <c r="A20" s="31">
        <v>6</v>
      </c>
      <c r="B20" s="32" t="s">
        <v>135</v>
      </c>
      <c r="C20" s="33">
        <v>1</v>
      </c>
      <c r="D20" s="33">
        <v>1</v>
      </c>
      <c r="E20" s="32" t="s">
        <v>115</v>
      </c>
      <c r="F20" s="50"/>
      <c r="G20" s="49"/>
      <c r="H20" s="50"/>
      <c r="I20" s="51"/>
      <c r="J20" s="52" t="str">
        <f t="shared" si="0"/>
        <v>-</v>
      </c>
      <c r="K20" s="26" t="s">
        <v>207</v>
      </c>
      <c r="L20" s="53"/>
      <c r="M20" s="50"/>
      <c r="N20" s="27" t="s">
        <v>304</v>
      </c>
      <c r="O20" s="47" t="s">
        <v>50</v>
      </c>
      <c r="P20" s="52" t="str">
        <f t="shared" si="2"/>
        <v>-</v>
      </c>
      <c r="Q20" s="54" t="e">
        <f>ROUND(1.5*(0.03+(1/(1000*(G20/1000)))),3)</f>
        <v>#DIV/0!</v>
      </c>
      <c r="R20" s="48">
        <f t="shared" ca="1" si="3"/>
        <v>0</v>
      </c>
      <c r="S20" s="28" t="e">
        <f t="shared" ca="1" si="1"/>
        <v>#DIV/0!</v>
      </c>
    </row>
    <row r="21" spans="1:19" ht="15" customHeight="1" x14ac:dyDescent="0.3">
      <c r="A21" s="31">
        <v>7</v>
      </c>
      <c r="B21" s="32" t="s">
        <v>43</v>
      </c>
      <c r="C21" s="33">
        <v>1</v>
      </c>
      <c r="D21" s="33">
        <v>2</v>
      </c>
      <c r="E21" s="32" t="s">
        <v>116</v>
      </c>
      <c r="F21" s="50"/>
      <c r="G21" s="49"/>
      <c r="H21" s="50"/>
      <c r="I21" s="51"/>
      <c r="J21" s="52" t="str">
        <f t="shared" si="0"/>
        <v>-</v>
      </c>
      <c r="K21" s="26" t="s">
        <v>208</v>
      </c>
      <c r="L21" s="53"/>
      <c r="M21" s="47" t="s">
        <v>50</v>
      </c>
      <c r="N21" s="27" t="s">
        <v>305</v>
      </c>
      <c r="O21" s="47" t="s">
        <v>50</v>
      </c>
      <c r="P21" s="52" t="str">
        <f t="shared" si="2"/>
        <v>-</v>
      </c>
      <c r="Q21" s="54">
        <v>1</v>
      </c>
      <c r="R21" s="48">
        <f t="shared" ca="1" si="3"/>
        <v>0</v>
      </c>
      <c r="S21" s="28" t="e">
        <f t="shared" ref="S21:S41" ca="1" si="4">ROUND(Q21*J21^2/(2*9.8)*R21*L21,3)</f>
        <v>#VALUE!</v>
      </c>
    </row>
    <row r="22" spans="1:19" ht="15" customHeight="1" x14ac:dyDescent="0.3">
      <c r="A22" s="31">
        <v>8</v>
      </c>
      <c r="B22" s="32" t="s">
        <v>47</v>
      </c>
      <c r="C22" s="33">
        <v>1</v>
      </c>
      <c r="D22" s="33">
        <v>2</v>
      </c>
      <c r="E22" s="32" t="s">
        <v>116</v>
      </c>
      <c r="F22" s="50"/>
      <c r="G22" s="49"/>
      <c r="H22" s="50"/>
      <c r="I22" s="51"/>
      <c r="J22" s="52" t="str">
        <f t="shared" si="0"/>
        <v>-</v>
      </c>
      <c r="K22" s="26" t="s">
        <v>209</v>
      </c>
      <c r="L22" s="53"/>
      <c r="M22" s="47" t="s">
        <v>50</v>
      </c>
      <c r="N22" s="27" t="s">
        <v>305</v>
      </c>
      <c r="O22" s="47" t="s">
        <v>50</v>
      </c>
      <c r="P22" s="52" t="str">
        <f t="shared" si="2"/>
        <v>-</v>
      </c>
      <c r="Q22" s="54">
        <v>0.5</v>
      </c>
      <c r="R22" s="48">
        <f t="shared" ca="1" si="3"/>
        <v>0</v>
      </c>
      <c r="S22" s="28" t="e">
        <f t="shared" ca="1" si="4"/>
        <v>#VALUE!</v>
      </c>
    </row>
    <row r="23" spans="1:19" ht="15" customHeight="1" x14ac:dyDescent="0.3">
      <c r="A23" s="31">
        <v>9</v>
      </c>
      <c r="B23" s="32" t="s">
        <v>48</v>
      </c>
      <c r="C23" s="33">
        <v>1</v>
      </c>
      <c r="D23" s="33">
        <v>2</v>
      </c>
      <c r="E23" s="32" t="s">
        <v>116</v>
      </c>
      <c r="F23" s="50"/>
      <c r="G23" s="49"/>
      <c r="H23" s="50"/>
      <c r="I23" s="51"/>
      <c r="J23" s="52" t="str">
        <f t="shared" si="0"/>
        <v>-</v>
      </c>
      <c r="K23" s="26" t="s">
        <v>210</v>
      </c>
      <c r="L23" s="53"/>
      <c r="M23" s="47" t="s">
        <v>50</v>
      </c>
      <c r="N23" s="27" t="s">
        <v>305</v>
      </c>
      <c r="O23" s="47" t="s">
        <v>50</v>
      </c>
      <c r="P23" s="52" t="str">
        <f t="shared" si="2"/>
        <v>-</v>
      </c>
      <c r="Q23" s="54">
        <v>0.2</v>
      </c>
      <c r="R23" s="48">
        <f t="shared" ca="1" si="3"/>
        <v>0</v>
      </c>
      <c r="S23" s="28" t="e">
        <f t="shared" ca="1" si="4"/>
        <v>#VALUE!</v>
      </c>
    </row>
    <row r="24" spans="1:19" ht="15" customHeight="1" x14ac:dyDescent="0.3">
      <c r="A24" s="31">
        <v>10</v>
      </c>
      <c r="B24" s="32" t="s">
        <v>129</v>
      </c>
      <c r="C24" s="33">
        <v>1</v>
      </c>
      <c r="D24" s="33">
        <v>3</v>
      </c>
      <c r="E24" s="32" t="s">
        <v>117</v>
      </c>
      <c r="F24" s="50"/>
      <c r="G24" s="49"/>
      <c r="H24" s="50"/>
      <c r="I24" s="51"/>
      <c r="J24" s="52" t="str">
        <f t="shared" si="0"/>
        <v>-</v>
      </c>
      <c r="K24" s="26" t="s">
        <v>211</v>
      </c>
      <c r="L24" s="53"/>
      <c r="M24" s="47" t="s">
        <v>50</v>
      </c>
      <c r="N24" s="27" t="s">
        <v>305</v>
      </c>
      <c r="O24" s="47" t="s">
        <v>50</v>
      </c>
      <c r="P24" s="52" t="str">
        <f t="shared" si="2"/>
        <v>-</v>
      </c>
      <c r="Q24" s="54">
        <v>0.17</v>
      </c>
      <c r="R24" s="48">
        <f t="shared" ca="1" si="3"/>
        <v>0</v>
      </c>
      <c r="S24" s="28" t="e">
        <f t="shared" ca="1" si="4"/>
        <v>#VALUE!</v>
      </c>
    </row>
    <row r="25" spans="1:19" ht="15" customHeight="1" x14ac:dyDescent="0.3">
      <c r="A25" s="31">
        <v>11</v>
      </c>
      <c r="B25" s="32" t="s">
        <v>130</v>
      </c>
      <c r="C25" s="33">
        <v>1</v>
      </c>
      <c r="D25" s="33">
        <v>3</v>
      </c>
      <c r="E25" s="32" t="s">
        <v>117</v>
      </c>
      <c r="F25" s="50"/>
      <c r="G25" s="49"/>
      <c r="H25" s="50"/>
      <c r="I25" s="51"/>
      <c r="J25" s="52" t="str">
        <f t="shared" si="0"/>
        <v>-</v>
      </c>
      <c r="K25" s="26" t="s">
        <v>212</v>
      </c>
      <c r="L25" s="53"/>
      <c r="M25" s="47" t="s">
        <v>50</v>
      </c>
      <c r="N25" s="27" t="s">
        <v>305</v>
      </c>
      <c r="O25" s="47" t="s">
        <v>50</v>
      </c>
      <c r="P25" s="52" t="str">
        <f t="shared" si="2"/>
        <v>-</v>
      </c>
      <c r="Q25" s="54">
        <v>0.28999999999999998</v>
      </c>
      <c r="R25" s="48">
        <f t="shared" ca="1" si="3"/>
        <v>0</v>
      </c>
      <c r="S25" s="28" t="e">
        <f t="shared" ca="1" si="4"/>
        <v>#VALUE!</v>
      </c>
    </row>
    <row r="26" spans="1:19" ht="15" customHeight="1" x14ac:dyDescent="0.3">
      <c r="A26" s="31">
        <v>12</v>
      </c>
      <c r="B26" s="32" t="s">
        <v>131</v>
      </c>
      <c r="C26" s="33">
        <v>1</v>
      </c>
      <c r="D26" s="33">
        <v>3</v>
      </c>
      <c r="E26" s="32" t="s">
        <v>117</v>
      </c>
      <c r="F26" s="50"/>
      <c r="G26" s="49"/>
      <c r="H26" s="50"/>
      <c r="I26" s="51"/>
      <c r="J26" s="52" t="str">
        <f t="shared" si="0"/>
        <v>-</v>
      </c>
      <c r="K26" s="26" t="s">
        <v>213</v>
      </c>
      <c r="L26" s="53"/>
      <c r="M26" s="47" t="s">
        <v>50</v>
      </c>
      <c r="N26" s="27" t="s">
        <v>305</v>
      </c>
      <c r="O26" s="47" t="s">
        <v>50</v>
      </c>
      <c r="P26" s="52" t="str">
        <f t="shared" si="2"/>
        <v>-</v>
      </c>
      <c r="Q26" s="54">
        <v>0.13</v>
      </c>
      <c r="R26" s="48">
        <f t="shared" ca="1" si="3"/>
        <v>0</v>
      </c>
      <c r="S26" s="28" t="e">
        <f t="shared" ca="1" si="4"/>
        <v>#VALUE!</v>
      </c>
    </row>
    <row r="27" spans="1:19" ht="15" customHeight="1" x14ac:dyDescent="0.3">
      <c r="A27" s="31">
        <v>13</v>
      </c>
      <c r="B27" s="32" t="s">
        <v>132</v>
      </c>
      <c r="C27" s="33">
        <v>1</v>
      </c>
      <c r="D27" s="33">
        <v>3</v>
      </c>
      <c r="E27" s="32" t="s">
        <v>117</v>
      </c>
      <c r="F27" s="50"/>
      <c r="G27" s="49"/>
      <c r="H27" s="50"/>
      <c r="I27" s="51"/>
      <c r="J27" s="52" t="str">
        <f t="shared" si="0"/>
        <v>-</v>
      </c>
      <c r="K27" s="26" t="s">
        <v>214</v>
      </c>
      <c r="L27" s="53"/>
      <c r="M27" s="47" t="s">
        <v>50</v>
      </c>
      <c r="N27" s="27" t="s">
        <v>305</v>
      </c>
      <c r="O27" s="47" t="s">
        <v>50</v>
      </c>
      <c r="P27" s="52" t="str">
        <f t="shared" si="2"/>
        <v>-</v>
      </c>
      <c r="Q27" s="54">
        <v>0.3</v>
      </c>
      <c r="R27" s="48">
        <f t="shared" ca="1" si="3"/>
        <v>0</v>
      </c>
      <c r="S27" s="28" t="e">
        <f t="shared" ca="1" si="4"/>
        <v>#VALUE!</v>
      </c>
    </row>
    <row r="28" spans="1:19" ht="15" customHeight="1" x14ac:dyDescent="0.3">
      <c r="A28" s="31">
        <v>14</v>
      </c>
      <c r="B28" s="32" t="s">
        <v>133</v>
      </c>
      <c r="C28" s="33">
        <v>1</v>
      </c>
      <c r="D28" s="33">
        <v>3</v>
      </c>
      <c r="E28" s="32" t="s">
        <v>117</v>
      </c>
      <c r="F28" s="50"/>
      <c r="G28" s="49"/>
      <c r="H28" s="50"/>
      <c r="I28" s="51"/>
      <c r="J28" s="52" t="str">
        <f t="shared" si="0"/>
        <v>-</v>
      </c>
      <c r="K28" s="26" t="s">
        <v>215</v>
      </c>
      <c r="L28" s="53"/>
      <c r="M28" s="47" t="s">
        <v>50</v>
      </c>
      <c r="N28" s="27" t="s">
        <v>305</v>
      </c>
      <c r="O28" s="47" t="s">
        <v>50</v>
      </c>
      <c r="P28" s="52" t="str">
        <f t="shared" si="2"/>
        <v>-</v>
      </c>
      <c r="Q28" s="54">
        <v>0.21</v>
      </c>
      <c r="R28" s="48">
        <f t="shared" ca="1" si="3"/>
        <v>0</v>
      </c>
      <c r="S28" s="28" t="e">
        <f t="shared" ca="1" si="4"/>
        <v>#VALUE!</v>
      </c>
    </row>
    <row r="29" spans="1:19" ht="15" customHeight="1" x14ac:dyDescent="0.3">
      <c r="A29" s="31">
        <v>15</v>
      </c>
      <c r="B29" s="32" t="s">
        <v>93</v>
      </c>
      <c r="C29" s="33">
        <v>1</v>
      </c>
      <c r="D29" s="33">
        <v>3</v>
      </c>
      <c r="E29" s="32" t="s">
        <v>117</v>
      </c>
      <c r="F29" s="50"/>
      <c r="G29" s="49"/>
      <c r="H29" s="50"/>
      <c r="I29" s="51"/>
      <c r="J29" s="52" t="str">
        <f t="shared" si="0"/>
        <v>-</v>
      </c>
      <c r="K29" s="26" t="s">
        <v>216</v>
      </c>
      <c r="L29" s="53"/>
      <c r="M29" s="47" t="s">
        <v>50</v>
      </c>
      <c r="N29" s="27" t="s">
        <v>305</v>
      </c>
      <c r="O29" s="47" t="s">
        <v>50</v>
      </c>
      <c r="P29" s="52" t="str">
        <f t="shared" si="2"/>
        <v>-</v>
      </c>
      <c r="Q29" s="54">
        <v>7.0000000000000007E-2</v>
      </c>
      <c r="R29" s="48">
        <f t="shared" ca="1" si="3"/>
        <v>0</v>
      </c>
      <c r="S29" s="28" t="e">
        <f t="shared" ca="1" si="4"/>
        <v>#VALUE!</v>
      </c>
    </row>
    <row r="30" spans="1:19" ht="15" customHeight="1" x14ac:dyDescent="0.3">
      <c r="A30" s="31">
        <v>16</v>
      </c>
      <c r="B30" s="32" t="s">
        <v>94</v>
      </c>
      <c r="C30" s="33">
        <v>1</v>
      </c>
      <c r="D30" s="33">
        <v>3</v>
      </c>
      <c r="E30" s="32" t="s">
        <v>117</v>
      </c>
      <c r="F30" s="50"/>
      <c r="G30" s="49"/>
      <c r="H30" s="50"/>
      <c r="I30" s="51"/>
      <c r="J30" s="52" t="str">
        <f t="shared" si="0"/>
        <v>-</v>
      </c>
      <c r="K30" s="26" t="s">
        <v>217</v>
      </c>
      <c r="L30" s="53"/>
      <c r="M30" s="47" t="s">
        <v>50</v>
      </c>
      <c r="N30" s="27" t="s">
        <v>305</v>
      </c>
      <c r="O30" s="47" t="s">
        <v>50</v>
      </c>
      <c r="P30" s="52" t="str">
        <f t="shared" si="2"/>
        <v>-</v>
      </c>
      <c r="Q30" s="54">
        <v>0.08</v>
      </c>
      <c r="R30" s="48">
        <f t="shared" ca="1" si="3"/>
        <v>0</v>
      </c>
      <c r="S30" s="28" t="e">
        <f t="shared" ca="1" si="4"/>
        <v>#VALUE!</v>
      </c>
    </row>
    <row r="31" spans="1:19" ht="15" customHeight="1" x14ac:dyDescent="0.3">
      <c r="A31" s="31">
        <v>17</v>
      </c>
      <c r="B31" s="32" t="s">
        <v>95</v>
      </c>
      <c r="C31" s="33">
        <v>1</v>
      </c>
      <c r="D31" s="33">
        <v>3</v>
      </c>
      <c r="E31" s="32" t="s">
        <v>117</v>
      </c>
      <c r="F31" s="50"/>
      <c r="G31" s="49"/>
      <c r="H31" s="50"/>
      <c r="I31" s="51"/>
      <c r="J31" s="52" t="str">
        <f t="shared" si="0"/>
        <v>-</v>
      </c>
      <c r="K31" s="26" t="s">
        <v>218</v>
      </c>
      <c r="L31" s="53"/>
      <c r="M31" s="47" t="s">
        <v>50</v>
      </c>
      <c r="N31" s="27" t="s">
        <v>305</v>
      </c>
      <c r="O31" s="47" t="s">
        <v>50</v>
      </c>
      <c r="P31" s="52" t="str">
        <f t="shared" si="2"/>
        <v>-</v>
      </c>
      <c r="Q31" s="54">
        <v>0.1</v>
      </c>
      <c r="R31" s="48">
        <f t="shared" ca="1" si="3"/>
        <v>0</v>
      </c>
      <c r="S31" s="28" t="e">
        <f t="shared" ca="1" si="4"/>
        <v>#VALUE!</v>
      </c>
    </row>
    <row r="32" spans="1:19" ht="15" customHeight="1" x14ac:dyDescent="0.3">
      <c r="A32" s="31">
        <v>18</v>
      </c>
      <c r="B32" s="32" t="s">
        <v>96</v>
      </c>
      <c r="C32" s="33">
        <v>1</v>
      </c>
      <c r="D32" s="33">
        <v>3</v>
      </c>
      <c r="E32" s="32" t="s">
        <v>117</v>
      </c>
      <c r="F32" s="50"/>
      <c r="G32" s="49"/>
      <c r="H32" s="50"/>
      <c r="I32" s="51"/>
      <c r="J32" s="52" t="str">
        <f t="shared" si="0"/>
        <v>-</v>
      </c>
      <c r="K32" s="26" t="s">
        <v>219</v>
      </c>
      <c r="L32" s="53"/>
      <c r="M32" s="47" t="s">
        <v>50</v>
      </c>
      <c r="N32" s="27" t="s">
        <v>305</v>
      </c>
      <c r="O32" s="47" t="s">
        <v>50</v>
      </c>
      <c r="P32" s="52" t="str">
        <f t="shared" si="2"/>
        <v>-</v>
      </c>
      <c r="Q32" s="54">
        <v>0.13</v>
      </c>
      <c r="R32" s="48">
        <f t="shared" ca="1" si="3"/>
        <v>0</v>
      </c>
      <c r="S32" s="28" t="e">
        <f t="shared" ca="1" si="4"/>
        <v>#VALUE!</v>
      </c>
    </row>
    <row r="33" spans="1:19" ht="15" customHeight="1" x14ac:dyDescent="0.3">
      <c r="A33" s="31">
        <v>19</v>
      </c>
      <c r="B33" s="32" t="s">
        <v>97</v>
      </c>
      <c r="C33" s="33">
        <v>1</v>
      </c>
      <c r="D33" s="33">
        <v>3</v>
      </c>
      <c r="E33" s="32" t="s">
        <v>117</v>
      </c>
      <c r="F33" s="50"/>
      <c r="G33" s="49"/>
      <c r="H33" s="50"/>
      <c r="I33" s="51"/>
      <c r="J33" s="52" t="str">
        <f t="shared" si="0"/>
        <v>-</v>
      </c>
      <c r="K33" s="26" t="s">
        <v>220</v>
      </c>
      <c r="L33" s="53"/>
      <c r="M33" s="47" t="s">
        <v>50</v>
      </c>
      <c r="N33" s="27" t="s">
        <v>305</v>
      </c>
      <c r="O33" s="47" t="s">
        <v>50</v>
      </c>
      <c r="P33" s="52" t="str">
        <f t="shared" si="2"/>
        <v>-</v>
      </c>
      <c r="Q33" s="54">
        <v>0.14000000000000001</v>
      </c>
      <c r="R33" s="48">
        <f t="shared" ca="1" si="3"/>
        <v>0</v>
      </c>
      <c r="S33" s="28" t="e">
        <f t="shared" ca="1" si="4"/>
        <v>#VALUE!</v>
      </c>
    </row>
    <row r="34" spans="1:19" ht="15" customHeight="1" x14ac:dyDescent="0.3">
      <c r="A34" s="31">
        <v>20</v>
      </c>
      <c r="B34" s="32" t="s">
        <v>98</v>
      </c>
      <c r="C34" s="33">
        <v>1</v>
      </c>
      <c r="D34" s="33">
        <v>3</v>
      </c>
      <c r="E34" s="32" t="s">
        <v>117</v>
      </c>
      <c r="F34" s="50"/>
      <c r="G34" s="49"/>
      <c r="H34" s="50"/>
      <c r="I34" s="51"/>
      <c r="J34" s="52" t="str">
        <f t="shared" si="0"/>
        <v>-</v>
      </c>
      <c r="K34" s="26" t="s">
        <v>221</v>
      </c>
      <c r="L34" s="53"/>
      <c r="M34" s="47" t="s">
        <v>50</v>
      </c>
      <c r="N34" s="27" t="s">
        <v>305</v>
      </c>
      <c r="O34" s="47" t="s">
        <v>50</v>
      </c>
      <c r="P34" s="52" t="str">
        <f t="shared" si="2"/>
        <v>-</v>
      </c>
      <c r="Q34" s="54">
        <v>0.17</v>
      </c>
      <c r="R34" s="48">
        <f t="shared" ca="1" si="3"/>
        <v>0</v>
      </c>
      <c r="S34" s="28" t="e">
        <f t="shared" ca="1" si="4"/>
        <v>#VALUE!</v>
      </c>
    </row>
    <row r="35" spans="1:19" ht="15" customHeight="1" x14ac:dyDescent="0.3">
      <c r="A35" s="31">
        <v>21</v>
      </c>
      <c r="B35" s="32" t="s">
        <v>158</v>
      </c>
      <c r="C35" s="33">
        <v>1</v>
      </c>
      <c r="D35" s="33">
        <v>4</v>
      </c>
      <c r="E35" s="32" t="s">
        <v>164</v>
      </c>
      <c r="F35" s="50"/>
      <c r="G35" s="49"/>
      <c r="H35" s="50"/>
      <c r="I35" s="51"/>
      <c r="J35" s="52" t="str">
        <f t="shared" si="0"/>
        <v>-</v>
      </c>
      <c r="K35" s="26" t="s">
        <v>222</v>
      </c>
      <c r="L35" s="53"/>
      <c r="M35" s="47" t="s">
        <v>50</v>
      </c>
      <c r="N35" s="27" t="s">
        <v>305</v>
      </c>
      <c r="O35" s="47" t="s">
        <v>50</v>
      </c>
      <c r="P35" s="52" t="str">
        <f t="shared" si="2"/>
        <v>-</v>
      </c>
      <c r="Q35" s="54">
        <v>2.1999999999999999E-2</v>
      </c>
      <c r="R35" s="48">
        <f t="shared" ca="1" si="3"/>
        <v>0</v>
      </c>
      <c r="S35" s="28" t="e">
        <f t="shared" ca="1" si="4"/>
        <v>#VALUE!</v>
      </c>
    </row>
    <row r="36" spans="1:19" ht="15" customHeight="1" x14ac:dyDescent="0.3">
      <c r="A36" s="31">
        <v>22</v>
      </c>
      <c r="B36" s="32" t="s">
        <v>159</v>
      </c>
      <c r="C36" s="33">
        <v>1</v>
      </c>
      <c r="D36" s="33">
        <v>4</v>
      </c>
      <c r="E36" s="32" t="s">
        <v>164</v>
      </c>
      <c r="F36" s="50"/>
      <c r="G36" s="49"/>
      <c r="H36" s="50"/>
      <c r="I36" s="51"/>
      <c r="J36" s="52" t="str">
        <f t="shared" si="0"/>
        <v>-</v>
      </c>
      <c r="K36" s="26" t="s">
        <v>223</v>
      </c>
      <c r="L36" s="53"/>
      <c r="M36" s="47" t="s">
        <v>50</v>
      </c>
      <c r="N36" s="27" t="s">
        <v>305</v>
      </c>
      <c r="O36" s="47" t="s">
        <v>50</v>
      </c>
      <c r="P36" s="52" t="str">
        <f t="shared" si="2"/>
        <v>-</v>
      </c>
      <c r="Q36" s="54">
        <v>7.2999999999999995E-2</v>
      </c>
      <c r="R36" s="48">
        <f t="shared" ca="1" si="3"/>
        <v>0</v>
      </c>
      <c r="S36" s="28" t="e">
        <f t="shared" ca="1" si="4"/>
        <v>#VALUE!</v>
      </c>
    </row>
    <row r="37" spans="1:19" ht="15" customHeight="1" x14ac:dyDescent="0.3">
      <c r="A37" s="31">
        <v>23</v>
      </c>
      <c r="B37" s="32" t="s">
        <v>160</v>
      </c>
      <c r="C37" s="33">
        <v>1</v>
      </c>
      <c r="D37" s="33">
        <v>4</v>
      </c>
      <c r="E37" s="32" t="s">
        <v>164</v>
      </c>
      <c r="F37" s="50"/>
      <c r="G37" s="49"/>
      <c r="H37" s="50"/>
      <c r="I37" s="51"/>
      <c r="J37" s="52" t="str">
        <f t="shared" si="0"/>
        <v>-</v>
      </c>
      <c r="K37" s="26" t="s">
        <v>224</v>
      </c>
      <c r="L37" s="53"/>
      <c r="M37" s="47" t="s">
        <v>50</v>
      </c>
      <c r="N37" s="27" t="s">
        <v>305</v>
      </c>
      <c r="O37" s="47" t="s">
        <v>50</v>
      </c>
      <c r="P37" s="52" t="str">
        <f t="shared" si="2"/>
        <v>-</v>
      </c>
      <c r="Q37" s="54">
        <v>0.183</v>
      </c>
      <c r="R37" s="48">
        <f t="shared" ca="1" si="3"/>
        <v>0</v>
      </c>
      <c r="S37" s="28" t="e">
        <f t="shared" ca="1" si="4"/>
        <v>#VALUE!</v>
      </c>
    </row>
    <row r="38" spans="1:19" ht="15" customHeight="1" x14ac:dyDescent="0.3">
      <c r="A38" s="31">
        <v>24</v>
      </c>
      <c r="B38" s="32" t="s">
        <v>161</v>
      </c>
      <c r="C38" s="33">
        <v>1</v>
      </c>
      <c r="D38" s="33">
        <v>4</v>
      </c>
      <c r="E38" s="32" t="s">
        <v>164</v>
      </c>
      <c r="F38" s="50"/>
      <c r="G38" s="49"/>
      <c r="H38" s="50"/>
      <c r="I38" s="51"/>
      <c r="J38" s="52" t="str">
        <f t="shared" si="0"/>
        <v>-</v>
      </c>
      <c r="K38" s="26" t="s">
        <v>225</v>
      </c>
      <c r="L38" s="53"/>
      <c r="M38" s="47" t="s">
        <v>50</v>
      </c>
      <c r="N38" s="27" t="s">
        <v>305</v>
      </c>
      <c r="O38" s="47" t="s">
        <v>50</v>
      </c>
      <c r="P38" s="52" t="str">
        <f t="shared" si="2"/>
        <v>-</v>
      </c>
      <c r="Q38" s="54">
        <v>0.36499999999999999</v>
      </c>
      <c r="R38" s="48">
        <f t="shared" ca="1" si="3"/>
        <v>0</v>
      </c>
      <c r="S38" s="28" t="e">
        <f t="shared" ca="1" si="4"/>
        <v>#VALUE!</v>
      </c>
    </row>
    <row r="39" spans="1:19" ht="15" customHeight="1" x14ac:dyDescent="0.3">
      <c r="A39" s="31">
        <v>25</v>
      </c>
      <c r="B39" s="32" t="s">
        <v>162</v>
      </c>
      <c r="C39" s="33">
        <v>1</v>
      </c>
      <c r="D39" s="33">
        <v>4</v>
      </c>
      <c r="E39" s="32" t="s">
        <v>164</v>
      </c>
      <c r="F39" s="50"/>
      <c r="G39" s="49"/>
      <c r="H39" s="50"/>
      <c r="I39" s="51"/>
      <c r="J39" s="52" t="str">
        <f t="shared" si="0"/>
        <v>-</v>
      </c>
      <c r="K39" s="26" t="s">
        <v>226</v>
      </c>
      <c r="L39" s="53"/>
      <c r="M39" s="47" t="s">
        <v>50</v>
      </c>
      <c r="N39" s="27" t="s">
        <v>305</v>
      </c>
      <c r="O39" s="47" t="s">
        <v>50</v>
      </c>
      <c r="P39" s="52" t="str">
        <f t="shared" si="2"/>
        <v>-</v>
      </c>
      <c r="Q39" s="54">
        <v>0.99</v>
      </c>
      <c r="R39" s="48">
        <f t="shared" ca="1" si="3"/>
        <v>0</v>
      </c>
      <c r="S39" s="28" t="e">
        <f t="shared" ca="1" si="4"/>
        <v>#VALUE!</v>
      </c>
    </row>
    <row r="40" spans="1:19" ht="15" customHeight="1" x14ac:dyDescent="0.3">
      <c r="A40" s="31">
        <v>26</v>
      </c>
      <c r="B40" s="32" t="s">
        <v>163</v>
      </c>
      <c r="C40" s="33">
        <v>1</v>
      </c>
      <c r="D40" s="33">
        <v>4</v>
      </c>
      <c r="E40" s="32" t="s">
        <v>164</v>
      </c>
      <c r="F40" s="50"/>
      <c r="G40" s="49"/>
      <c r="H40" s="50"/>
      <c r="I40" s="51"/>
      <c r="J40" s="52" t="str">
        <f t="shared" si="0"/>
        <v>-</v>
      </c>
      <c r="K40" s="26" t="s">
        <v>227</v>
      </c>
      <c r="L40" s="53"/>
      <c r="M40" s="47" t="s">
        <v>50</v>
      </c>
      <c r="N40" s="27" t="s">
        <v>305</v>
      </c>
      <c r="O40" s="47" t="s">
        <v>50</v>
      </c>
      <c r="P40" s="52" t="str">
        <f t="shared" si="2"/>
        <v>-</v>
      </c>
      <c r="Q40" s="54">
        <v>1.86</v>
      </c>
      <c r="R40" s="48">
        <f t="shared" ca="1" si="3"/>
        <v>0</v>
      </c>
      <c r="S40" s="28" t="e">
        <f t="shared" ca="1" si="4"/>
        <v>#VALUE!</v>
      </c>
    </row>
    <row r="41" spans="1:19" ht="15" customHeight="1" x14ac:dyDescent="0.3">
      <c r="A41" s="31">
        <v>27</v>
      </c>
      <c r="B41" s="32" t="s">
        <v>168</v>
      </c>
      <c r="C41" s="33">
        <v>1</v>
      </c>
      <c r="D41" s="33">
        <v>5</v>
      </c>
      <c r="E41" s="32" t="s">
        <v>118</v>
      </c>
      <c r="F41" s="50"/>
      <c r="G41" s="49"/>
      <c r="H41" s="50"/>
      <c r="I41" s="51"/>
      <c r="J41" s="52" t="str">
        <f t="shared" si="0"/>
        <v>-</v>
      </c>
      <c r="K41" s="26" t="s">
        <v>228</v>
      </c>
      <c r="L41" s="53"/>
      <c r="M41" s="47" t="s">
        <v>50</v>
      </c>
      <c r="N41" s="27" t="s">
        <v>305</v>
      </c>
      <c r="O41" s="50"/>
      <c r="P41" s="52" t="str">
        <f t="shared" si="2"/>
        <v>-</v>
      </c>
      <c r="Q41" s="54">
        <v>1</v>
      </c>
      <c r="R41" s="48">
        <f t="shared" ca="1" si="3"/>
        <v>0</v>
      </c>
      <c r="S41" s="28" t="e">
        <f t="shared" ca="1" si="4"/>
        <v>#VALUE!</v>
      </c>
    </row>
    <row r="42" spans="1:19" ht="15" customHeight="1" x14ac:dyDescent="0.3">
      <c r="A42" s="31">
        <v>28</v>
      </c>
      <c r="B42" s="32" t="s">
        <v>169</v>
      </c>
      <c r="C42" s="33">
        <v>1</v>
      </c>
      <c r="D42" s="33">
        <v>5</v>
      </c>
      <c r="E42" s="32" t="s">
        <v>118</v>
      </c>
      <c r="F42" s="50"/>
      <c r="G42" s="49"/>
      <c r="H42" s="50"/>
      <c r="I42" s="51"/>
      <c r="J42" s="52" t="str">
        <f t="shared" si="0"/>
        <v>-</v>
      </c>
      <c r="K42" s="26" t="s">
        <v>229</v>
      </c>
      <c r="L42" s="53"/>
      <c r="M42" s="47" t="s">
        <v>50</v>
      </c>
      <c r="N42" s="27" t="s">
        <v>306</v>
      </c>
      <c r="O42" s="50"/>
      <c r="P42" s="52" t="str">
        <f t="shared" si="2"/>
        <v>-</v>
      </c>
      <c r="Q42" s="54">
        <v>0.8</v>
      </c>
      <c r="R42" s="48">
        <f t="shared" ca="1" si="3"/>
        <v>0</v>
      </c>
      <c r="S42" s="28" t="str">
        <f>IF(G42&lt;O42,ROUND(Q42*(J42-P42)^2/(2*9.8)*R42*L42,3),"D2を入力")</f>
        <v>D2を入力</v>
      </c>
    </row>
    <row r="43" spans="1:19" ht="15" customHeight="1" x14ac:dyDescent="0.3">
      <c r="A43" s="31">
        <v>29</v>
      </c>
      <c r="B43" s="32" t="s">
        <v>181</v>
      </c>
      <c r="C43" s="33">
        <v>1</v>
      </c>
      <c r="D43" s="33">
        <v>5</v>
      </c>
      <c r="E43" s="32" t="s">
        <v>118</v>
      </c>
      <c r="F43" s="50"/>
      <c r="G43" s="49"/>
      <c r="H43" s="50"/>
      <c r="I43" s="51"/>
      <c r="J43" s="52" t="str">
        <f t="shared" si="0"/>
        <v>-</v>
      </c>
      <c r="K43" s="26" t="s">
        <v>230</v>
      </c>
      <c r="L43" s="53"/>
      <c r="M43" s="47" t="s">
        <v>50</v>
      </c>
      <c r="N43" s="27" t="s">
        <v>307</v>
      </c>
      <c r="O43" s="50"/>
      <c r="P43" s="52" t="str">
        <f t="shared" si="2"/>
        <v>-</v>
      </c>
      <c r="Q43" s="54">
        <v>0.5</v>
      </c>
      <c r="R43" s="48">
        <f t="shared" ca="1" si="3"/>
        <v>0</v>
      </c>
      <c r="S43" s="28" t="str">
        <f>IF(G43&gt;O43,ROUND(Q43*P43^2/(2*9.8)*R43*L43,3),"D2を入力")</f>
        <v>D2を入力</v>
      </c>
    </row>
    <row r="44" spans="1:19" ht="15" customHeight="1" x14ac:dyDescent="0.3">
      <c r="A44" s="31">
        <v>30</v>
      </c>
      <c r="B44" s="32" t="s">
        <v>182</v>
      </c>
      <c r="C44" s="33">
        <v>1</v>
      </c>
      <c r="D44" s="33">
        <v>5</v>
      </c>
      <c r="E44" s="32" t="s">
        <v>118</v>
      </c>
      <c r="F44" s="50"/>
      <c r="G44" s="49"/>
      <c r="H44" s="50"/>
      <c r="I44" s="51"/>
      <c r="J44" s="52" t="str">
        <f t="shared" si="0"/>
        <v>-</v>
      </c>
      <c r="K44" s="26" t="s">
        <v>231</v>
      </c>
      <c r="L44" s="53"/>
      <c r="M44" s="47" t="s">
        <v>50</v>
      </c>
      <c r="N44" s="27" t="s">
        <v>307</v>
      </c>
      <c r="O44" s="50"/>
      <c r="P44" s="52" t="str">
        <f t="shared" si="2"/>
        <v>-</v>
      </c>
      <c r="Q44" s="54">
        <v>1.4999999999999999E-2</v>
      </c>
      <c r="R44" s="48">
        <f t="shared" ca="1" si="3"/>
        <v>0</v>
      </c>
      <c r="S44" s="28" t="str">
        <f>IF(G44&gt;O44,ROUND(Q44*P44^2/(2*9.8)*R44*L44,3),"D2を入力")</f>
        <v>D2を入力</v>
      </c>
    </row>
    <row r="45" spans="1:19" ht="15" customHeight="1" x14ac:dyDescent="0.3">
      <c r="A45" s="31">
        <v>31</v>
      </c>
      <c r="B45" s="32" t="s">
        <v>59</v>
      </c>
      <c r="C45" s="33">
        <v>1</v>
      </c>
      <c r="D45" s="33">
        <v>6</v>
      </c>
      <c r="E45" s="32" t="s">
        <v>59</v>
      </c>
      <c r="F45" s="50"/>
      <c r="G45" s="49"/>
      <c r="H45" s="50"/>
      <c r="I45" s="51"/>
      <c r="J45" s="52" t="str">
        <f t="shared" si="0"/>
        <v>-</v>
      </c>
      <c r="K45" s="26" t="s">
        <v>232</v>
      </c>
      <c r="L45" s="53"/>
      <c r="M45" s="47" t="s">
        <v>50</v>
      </c>
      <c r="N45" s="27" t="s">
        <v>307</v>
      </c>
      <c r="O45" s="47" t="s">
        <v>50</v>
      </c>
      <c r="P45" s="52" t="str">
        <f t="shared" si="2"/>
        <v>-</v>
      </c>
      <c r="Q45" s="54">
        <v>1</v>
      </c>
      <c r="R45" s="48">
        <f t="shared" ca="1" si="3"/>
        <v>0</v>
      </c>
      <c r="S45" s="28" t="e">
        <f t="shared" ref="S45:S50" ca="1" si="5">ROUND(Q45*J45^2/(2*9.8)*R45*L45,3)</f>
        <v>#VALUE!</v>
      </c>
    </row>
    <row r="46" spans="1:19" ht="15" customHeight="1" x14ac:dyDescent="0.3">
      <c r="A46" s="31">
        <v>32</v>
      </c>
      <c r="B46" s="32" t="s">
        <v>81</v>
      </c>
      <c r="C46" s="33">
        <v>1</v>
      </c>
      <c r="D46" s="33">
        <v>7</v>
      </c>
      <c r="E46" s="32" t="s">
        <v>119</v>
      </c>
      <c r="F46" s="50"/>
      <c r="G46" s="49"/>
      <c r="H46" s="50"/>
      <c r="I46" s="51"/>
      <c r="J46" s="52" t="str">
        <f t="shared" si="0"/>
        <v>-</v>
      </c>
      <c r="K46" s="26" t="s">
        <v>233</v>
      </c>
      <c r="L46" s="53"/>
      <c r="M46" s="47" t="s">
        <v>50</v>
      </c>
      <c r="N46" s="27" t="s">
        <v>307</v>
      </c>
      <c r="O46" s="47" t="s">
        <v>50</v>
      </c>
      <c r="P46" s="52" t="str">
        <f t="shared" si="2"/>
        <v>-</v>
      </c>
      <c r="Q46" s="54">
        <v>1</v>
      </c>
      <c r="R46" s="48">
        <f t="shared" ca="1" si="3"/>
        <v>0</v>
      </c>
      <c r="S46" s="28" t="e">
        <f t="shared" ca="1" si="5"/>
        <v>#VALUE!</v>
      </c>
    </row>
    <row r="47" spans="1:19" ht="15" customHeight="1" x14ac:dyDescent="0.3">
      <c r="A47" s="31">
        <v>33</v>
      </c>
      <c r="B47" s="32" t="s">
        <v>166</v>
      </c>
      <c r="C47" s="33">
        <v>1</v>
      </c>
      <c r="D47" s="33">
        <v>7</v>
      </c>
      <c r="E47" s="32" t="s">
        <v>119</v>
      </c>
      <c r="F47" s="50"/>
      <c r="G47" s="49"/>
      <c r="H47" s="50"/>
      <c r="I47" s="51"/>
      <c r="J47" s="52" t="str">
        <f t="shared" si="0"/>
        <v>-</v>
      </c>
      <c r="K47" s="26" t="s">
        <v>234</v>
      </c>
      <c r="L47" s="53"/>
      <c r="M47" s="47" t="s">
        <v>50</v>
      </c>
      <c r="N47" s="27" t="s">
        <v>307</v>
      </c>
      <c r="O47" s="47" t="s">
        <v>50</v>
      </c>
      <c r="P47" s="52" t="str">
        <f t="shared" si="2"/>
        <v>-</v>
      </c>
      <c r="Q47" s="54">
        <v>1.5</v>
      </c>
      <c r="R47" s="48">
        <f t="shared" ca="1" si="3"/>
        <v>0</v>
      </c>
      <c r="S47" s="28" t="e">
        <f t="shared" ca="1" si="5"/>
        <v>#VALUE!</v>
      </c>
    </row>
    <row r="48" spans="1:19" ht="15" customHeight="1" x14ac:dyDescent="0.3">
      <c r="A48" s="31">
        <v>34</v>
      </c>
      <c r="B48" s="32" t="s">
        <v>172</v>
      </c>
      <c r="C48" s="33">
        <v>1</v>
      </c>
      <c r="D48" s="33">
        <v>7</v>
      </c>
      <c r="E48" s="32" t="s">
        <v>119</v>
      </c>
      <c r="F48" s="50"/>
      <c r="G48" s="49"/>
      <c r="H48" s="50"/>
      <c r="I48" s="51"/>
      <c r="J48" s="52" t="str">
        <f t="shared" si="0"/>
        <v>-</v>
      </c>
      <c r="K48" s="26" t="s">
        <v>235</v>
      </c>
      <c r="L48" s="53"/>
      <c r="M48" s="47" t="s">
        <v>50</v>
      </c>
      <c r="N48" s="27" t="s">
        <v>307</v>
      </c>
      <c r="O48" s="47" t="s">
        <v>50</v>
      </c>
      <c r="P48" s="52" t="str">
        <f t="shared" si="2"/>
        <v>-</v>
      </c>
      <c r="Q48" s="54">
        <f>LOOKUP(G48,{0,25,50,100,150,200,250,300},{1,0.25,0.19,0.16,0.15,0.11,0.05,0})</f>
        <v>1</v>
      </c>
      <c r="R48" s="48">
        <f t="shared" ca="1" si="3"/>
        <v>0</v>
      </c>
      <c r="S48" s="28" t="e">
        <f t="shared" ca="1" si="5"/>
        <v>#VALUE!</v>
      </c>
    </row>
    <row r="49" spans="1:19" ht="15" customHeight="1" x14ac:dyDescent="0.3">
      <c r="A49" s="31">
        <v>35</v>
      </c>
      <c r="B49" s="32" t="s">
        <v>82</v>
      </c>
      <c r="C49" s="33">
        <v>1</v>
      </c>
      <c r="D49" s="33">
        <v>7</v>
      </c>
      <c r="E49" s="32" t="s">
        <v>119</v>
      </c>
      <c r="F49" s="50"/>
      <c r="G49" s="49"/>
      <c r="H49" s="50"/>
      <c r="I49" s="51"/>
      <c r="J49" s="52" t="str">
        <f t="shared" si="0"/>
        <v>-</v>
      </c>
      <c r="K49" s="26" t="s">
        <v>236</v>
      </c>
      <c r="L49" s="53"/>
      <c r="M49" s="47" t="s">
        <v>50</v>
      </c>
      <c r="N49" s="27" t="s">
        <v>307</v>
      </c>
      <c r="O49" s="47" t="s">
        <v>50</v>
      </c>
      <c r="P49" s="52" t="str">
        <f t="shared" si="2"/>
        <v>-</v>
      </c>
      <c r="Q49" s="54">
        <f>LOOKUP(G49,{0,801,1351},{0.4,0.3,0.2})</f>
        <v>0.4</v>
      </c>
      <c r="R49" s="48">
        <f t="shared" ca="1" si="3"/>
        <v>0</v>
      </c>
      <c r="S49" s="28" t="e">
        <f t="shared" ca="1" si="5"/>
        <v>#VALUE!</v>
      </c>
    </row>
    <row r="50" spans="1:19" ht="15" customHeight="1" x14ac:dyDescent="0.3">
      <c r="A50" s="31">
        <v>36</v>
      </c>
      <c r="B50" s="32" t="s">
        <v>193</v>
      </c>
      <c r="C50" s="33">
        <v>1</v>
      </c>
      <c r="D50" s="33">
        <v>7</v>
      </c>
      <c r="E50" s="32" t="s">
        <v>119</v>
      </c>
      <c r="F50" s="50"/>
      <c r="G50" s="49"/>
      <c r="H50" s="50"/>
      <c r="I50" s="51"/>
      <c r="J50" s="52" t="str">
        <f t="shared" si="0"/>
        <v>-</v>
      </c>
      <c r="K50" s="26" t="s">
        <v>237</v>
      </c>
      <c r="L50" s="53"/>
      <c r="M50" s="47" t="s">
        <v>50</v>
      </c>
      <c r="N50" s="27" t="s">
        <v>307</v>
      </c>
      <c r="O50" s="47" t="s">
        <v>50</v>
      </c>
      <c r="P50" s="52" t="str">
        <f t="shared" si="2"/>
        <v>-</v>
      </c>
      <c r="Q50" s="54">
        <f>LOOKUP(G50,{0,26,51},{6,4,2})</f>
        <v>6</v>
      </c>
      <c r="R50" s="48">
        <f t="shared" ca="1" si="3"/>
        <v>0</v>
      </c>
      <c r="S50" s="28" t="e">
        <f t="shared" ca="1" si="5"/>
        <v>#VALUE!</v>
      </c>
    </row>
    <row r="51" spans="1:19" ht="15" customHeight="1" x14ac:dyDescent="0.3">
      <c r="A51" s="31">
        <v>37</v>
      </c>
      <c r="B51" s="32" t="s">
        <v>194</v>
      </c>
      <c r="C51" s="33">
        <v>1</v>
      </c>
      <c r="D51" s="33">
        <v>7</v>
      </c>
      <c r="E51" s="32" t="s">
        <v>119</v>
      </c>
      <c r="F51" s="50"/>
      <c r="G51" s="49"/>
      <c r="H51" s="50"/>
      <c r="I51" s="51"/>
      <c r="J51" s="52" t="str">
        <f t="shared" si="0"/>
        <v>-</v>
      </c>
      <c r="K51" s="26" t="s">
        <v>238</v>
      </c>
      <c r="L51" s="53"/>
      <c r="M51" s="47" t="s">
        <v>50</v>
      </c>
      <c r="N51" s="27" t="s">
        <v>307</v>
      </c>
      <c r="O51" s="47" t="s">
        <v>50</v>
      </c>
      <c r="P51" s="52" t="str">
        <f t="shared" ref="P51:P56" si="6">IFERROR(ROUND((MAX(H51/60,I51)/60)/(0.785*(O51/1000)^2),3),"-")</f>
        <v>-</v>
      </c>
      <c r="Q51" s="54">
        <v>0.5</v>
      </c>
      <c r="R51" s="48">
        <f t="shared" ca="1" si="3"/>
        <v>0</v>
      </c>
      <c r="S51" s="28" t="e">
        <f t="shared" ref="S51:S56" ca="1" si="7">ROUND(Q51*J51^2/(2*9.8)*R51*L51,3)</f>
        <v>#VALUE!</v>
      </c>
    </row>
    <row r="52" spans="1:19" ht="15" customHeight="1" x14ac:dyDescent="0.3">
      <c r="A52" s="31">
        <v>38</v>
      </c>
      <c r="B52" s="32" t="s">
        <v>195</v>
      </c>
      <c r="C52" s="33">
        <v>1</v>
      </c>
      <c r="D52" s="33">
        <v>7</v>
      </c>
      <c r="E52" s="32" t="s">
        <v>119</v>
      </c>
      <c r="F52" s="50"/>
      <c r="G52" s="49"/>
      <c r="H52" s="50"/>
      <c r="I52" s="51"/>
      <c r="J52" s="52" t="str">
        <f t="shared" si="0"/>
        <v>-</v>
      </c>
      <c r="K52" s="26" t="s">
        <v>239</v>
      </c>
      <c r="L52" s="53"/>
      <c r="M52" s="47" t="s">
        <v>50</v>
      </c>
      <c r="N52" s="27" t="s">
        <v>307</v>
      </c>
      <c r="O52" s="47" t="s">
        <v>50</v>
      </c>
      <c r="P52" s="52" t="str">
        <f t="shared" si="6"/>
        <v>-</v>
      </c>
      <c r="Q52" s="54">
        <v>10</v>
      </c>
      <c r="R52" s="48">
        <f t="shared" ca="1" si="3"/>
        <v>0</v>
      </c>
      <c r="S52" s="28" t="e">
        <f t="shared" ca="1" si="7"/>
        <v>#VALUE!</v>
      </c>
    </row>
    <row r="53" spans="1:19" ht="15" customHeight="1" x14ac:dyDescent="0.3">
      <c r="A53" s="31">
        <v>39</v>
      </c>
      <c r="B53" s="32" t="s">
        <v>196</v>
      </c>
      <c r="C53" s="33">
        <v>1</v>
      </c>
      <c r="D53" s="33">
        <v>7</v>
      </c>
      <c r="E53" s="32" t="s">
        <v>119</v>
      </c>
      <c r="F53" s="50"/>
      <c r="G53" s="49"/>
      <c r="H53" s="50"/>
      <c r="I53" s="51"/>
      <c r="J53" s="52" t="str">
        <f t="shared" si="0"/>
        <v>-</v>
      </c>
      <c r="K53" s="26" t="s">
        <v>240</v>
      </c>
      <c r="L53" s="53"/>
      <c r="M53" s="47" t="s">
        <v>50</v>
      </c>
      <c r="N53" s="27" t="s">
        <v>307</v>
      </c>
      <c r="O53" s="47" t="s">
        <v>50</v>
      </c>
      <c r="P53" s="52" t="str">
        <f t="shared" si="6"/>
        <v>-</v>
      </c>
      <c r="Q53" s="54">
        <v>10</v>
      </c>
      <c r="R53" s="48">
        <f t="shared" ca="1" si="3"/>
        <v>0</v>
      </c>
      <c r="S53" s="28" t="e">
        <f t="shared" ca="1" si="7"/>
        <v>#VALUE!</v>
      </c>
    </row>
    <row r="54" spans="1:19" ht="15" customHeight="1" x14ac:dyDescent="0.3">
      <c r="A54" s="31">
        <v>40</v>
      </c>
      <c r="B54" s="32" t="s">
        <v>200</v>
      </c>
      <c r="C54" s="33">
        <v>1</v>
      </c>
      <c r="D54" s="33">
        <v>7</v>
      </c>
      <c r="E54" s="32" t="s">
        <v>119</v>
      </c>
      <c r="F54" s="50"/>
      <c r="G54" s="49"/>
      <c r="H54" s="50"/>
      <c r="I54" s="51"/>
      <c r="J54" s="52" t="str">
        <f t="shared" si="0"/>
        <v>-</v>
      </c>
      <c r="K54" s="26" t="s">
        <v>241</v>
      </c>
      <c r="L54" s="53"/>
      <c r="M54" s="47" t="s">
        <v>50</v>
      </c>
      <c r="N54" s="27" t="s">
        <v>307</v>
      </c>
      <c r="O54" s="47" t="s">
        <v>50</v>
      </c>
      <c r="P54" s="52" t="str">
        <f t="shared" si="6"/>
        <v>-</v>
      </c>
      <c r="Q54" s="54">
        <v>0.5</v>
      </c>
      <c r="R54" s="48">
        <f t="shared" ca="1" si="3"/>
        <v>0</v>
      </c>
      <c r="S54" s="28" t="e">
        <f t="shared" ca="1" si="7"/>
        <v>#VALUE!</v>
      </c>
    </row>
    <row r="55" spans="1:19" ht="15" customHeight="1" x14ac:dyDescent="0.3">
      <c r="A55" s="31">
        <v>41</v>
      </c>
      <c r="B55" s="32" t="s">
        <v>197</v>
      </c>
      <c r="C55" s="33">
        <v>1</v>
      </c>
      <c r="D55" s="33">
        <v>7</v>
      </c>
      <c r="E55" s="32" t="s">
        <v>119</v>
      </c>
      <c r="F55" s="50"/>
      <c r="G55" s="49"/>
      <c r="H55" s="50"/>
      <c r="I55" s="51"/>
      <c r="J55" s="52" t="str">
        <f t="shared" si="0"/>
        <v>-</v>
      </c>
      <c r="K55" s="26" t="s">
        <v>242</v>
      </c>
      <c r="L55" s="53"/>
      <c r="M55" s="47" t="s">
        <v>50</v>
      </c>
      <c r="N55" s="27" t="s">
        <v>307</v>
      </c>
      <c r="O55" s="47" t="s">
        <v>50</v>
      </c>
      <c r="P55" s="52" t="str">
        <f t="shared" si="6"/>
        <v>-</v>
      </c>
      <c r="Q55" s="54">
        <v>0.5</v>
      </c>
      <c r="R55" s="48">
        <f t="shared" ca="1" si="3"/>
        <v>0</v>
      </c>
      <c r="S55" s="28" t="e">
        <f t="shared" ca="1" si="7"/>
        <v>#VALUE!</v>
      </c>
    </row>
    <row r="56" spans="1:19" ht="15" customHeight="1" x14ac:dyDescent="0.3">
      <c r="A56" s="31">
        <v>42</v>
      </c>
      <c r="B56" s="32" t="s">
        <v>183</v>
      </c>
      <c r="C56" s="33">
        <v>1</v>
      </c>
      <c r="D56" s="33">
        <v>7</v>
      </c>
      <c r="E56" s="32" t="s">
        <v>119</v>
      </c>
      <c r="F56" s="50"/>
      <c r="G56" s="49"/>
      <c r="H56" s="50"/>
      <c r="I56" s="51"/>
      <c r="J56" s="52" t="str">
        <f t="shared" si="0"/>
        <v>-</v>
      </c>
      <c r="K56" s="29" t="s">
        <v>243</v>
      </c>
      <c r="L56" s="53"/>
      <c r="M56" s="47" t="s">
        <v>50</v>
      </c>
      <c r="N56" s="27" t="s">
        <v>307</v>
      </c>
      <c r="O56" s="47" t="s">
        <v>50</v>
      </c>
      <c r="P56" s="52" t="str">
        <f t="shared" si="6"/>
        <v>-</v>
      </c>
      <c r="Q56" s="53"/>
      <c r="R56" s="48">
        <f t="shared" ca="1" si="3"/>
        <v>0</v>
      </c>
      <c r="S56" s="28" t="e">
        <f t="shared" ca="1" si="7"/>
        <v>#VALUE!</v>
      </c>
    </row>
    <row r="57" spans="1:19" ht="15" customHeight="1" x14ac:dyDescent="0.3">
      <c r="A57" s="31">
        <v>43</v>
      </c>
      <c r="B57" s="32" t="s">
        <v>165</v>
      </c>
      <c r="C57" s="33">
        <v>1</v>
      </c>
      <c r="D57" s="33">
        <v>8</v>
      </c>
      <c r="E57" s="32" t="s">
        <v>120</v>
      </c>
      <c r="F57" s="50"/>
      <c r="G57" s="49"/>
      <c r="H57" s="50"/>
      <c r="I57" s="51"/>
      <c r="J57" s="50"/>
      <c r="K57" s="29" t="s">
        <v>165</v>
      </c>
      <c r="L57" s="53"/>
      <c r="M57" s="50"/>
      <c r="N57" s="30"/>
      <c r="O57" s="50"/>
      <c r="P57" s="50"/>
      <c r="Q57" s="53"/>
      <c r="R57" s="50"/>
      <c r="S57" s="25"/>
    </row>
    <row r="58" spans="1:19" ht="15" customHeight="1" x14ac:dyDescent="0.3">
      <c r="A58" s="31">
        <v>44</v>
      </c>
      <c r="B58" s="32" t="s">
        <v>128</v>
      </c>
      <c r="C58" s="33">
        <v>1</v>
      </c>
      <c r="D58" s="33">
        <v>8</v>
      </c>
      <c r="E58" s="32" t="s">
        <v>120</v>
      </c>
      <c r="F58" s="50"/>
      <c r="G58" s="49"/>
      <c r="H58" s="50"/>
      <c r="I58" s="51"/>
      <c r="J58" s="50"/>
      <c r="K58" s="29"/>
      <c r="L58" s="53"/>
      <c r="M58" s="50"/>
      <c r="N58" s="30"/>
      <c r="O58" s="50"/>
      <c r="P58" s="50"/>
      <c r="Q58" s="53"/>
      <c r="R58" s="50"/>
      <c r="S58" s="63"/>
    </row>
    <row r="59" spans="1:19" ht="15" customHeight="1" x14ac:dyDescent="0.3">
      <c r="A59" s="31">
        <v>45</v>
      </c>
      <c r="B59" s="32" t="s">
        <v>275</v>
      </c>
      <c r="C59" s="33">
        <v>4</v>
      </c>
      <c r="D59" s="33">
        <v>8</v>
      </c>
      <c r="E59" s="32" t="s">
        <v>138</v>
      </c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72" t="s">
        <v>273</v>
      </c>
      <c r="S59" s="64">
        <f ca="1">SUM(INDIRECT("O10:O"&amp;ROW()-1))</f>
        <v>0</v>
      </c>
    </row>
    <row r="60" spans="1:19" ht="15" customHeight="1" x14ac:dyDescent="0.3">
      <c r="A60" s="31">
        <v>46</v>
      </c>
      <c r="B60" s="32" t="s">
        <v>278</v>
      </c>
      <c r="C60" s="33">
        <v>0</v>
      </c>
      <c r="D60" s="33">
        <v>8</v>
      </c>
      <c r="E60" s="32" t="s">
        <v>120</v>
      </c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73" t="s">
        <v>274</v>
      </c>
      <c r="S60" s="66">
        <v>0</v>
      </c>
    </row>
    <row r="61" spans="1:19" ht="15" customHeight="1" x14ac:dyDescent="0.3">
      <c r="A61" s="31">
        <v>47</v>
      </c>
      <c r="B61" s="32" t="s">
        <v>279</v>
      </c>
      <c r="C61" s="33">
        <v>0</v>
      </c>
      <c r="D61" s="33">
        <v>8</v>
      </c>
      <c r="E61" s="32" t="s">
        <v>120</v>
      </c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73" t="s">
        <v>136</v>
      </c>
      <c r="S61" s="66">
        <v>7</v>
      </c>
    </row>
    <row r="62" spans="1:19" ht="15" customHeight="1" x14ac:dyDescent="0.3">
      <c r="A62" s="31">
        <v>48</v>
      </c>
      <c r="B62" s="32" t="s">
        <v>280</v>
      </c>
      <c r="C62" s="33">
        <v>0</v>
      </c>
      <c r="D62" s="33">
        <v>8</v>
      </c>
      <c r="E62" s="32" t="s">
        <v>120</v>
      </c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73" t="s">
        <v>137</v>
      </c>
      <c r="S62" s="67">
        <f ca="1">SUM(S59:S61)</f>
        <v>7</v>
      </c>
    </row>
    <row r="63" spans="1:19" ht="15" customHeight="1" x14ac:dyDescent="0.3">
      <c r="A63" s="31"/>
      <c r="B63" s="32"/>
      <c r="C63" s="33"/>
      <c r="D63" s="33"/>
      <c r="E63" s="32"/>
      <c r="F63" s="4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</row>
    <row r="64" spans="1:19" ht="15" customHeight="1" x14ac:dyDescent="0.3">
      <c r="A64" s="31"/>
      <c r="B64" s="32"/>
      <c r="C64" s="33"/>
      <c r="D64" s="33"/>
      <c r="E64" s="32"/>
      <c r="F64" s="4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</row>
    <row r="65" spans="1:20" ht="15" customHeight="1" x14ac:dyDescent="0.3">
      <c r="A65" s="35"/>
      <c r="B65" s="36"/>
      <c r="C65" s="37"/>
      <c r="D65" s="37"/>
      <c r="E65" s="36"/>
      <c r="F65" s="4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</row>
    <row r="66" spans="1:20" ht="15" customHeight="1" x14ac:dyDescent="0.3"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</row>
    <row r="67" spans="1:20" ht="15" customHeight="1" x14ac:dyDescent="0.3"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</row>
    <row r="68" spans="1:20" ht="15" customHeight="1" x14ac:dyDescent="0.3">
      <c r="T68" s="43"/>
    </row>
    <row r="69" spans="1:20" ht="15" customHeight="1" x14ac:dyDescent="0.3">
      <c r="T69" s="43"/>
    </row>
    <row r="70" spans="1:20" ht="15" customHeight="1" x14ac:dyDescent="0.3">
      <c r="T70" s="43"/>
    </row>
    <row r="71" spans="1:20" ht="15" customHeight="1" x14ac:dyDescent="0.3">
      <c r="T71" s="43"/>
    </row>
    <row r="72" spans="1:20" ht="15" customHeight="1" x14ac:dyDescent="0.3">
      <c r="T72" s="43"/>
    </row>
  </sheetData>
  <sheetProtection sheet="1" objects="1" scenarios="1"/>
  <dataConsolidate/>
  <mergeCells count="8">
    <mergeCell ref="T5:Y5"/>
    <mergeCell ref="H13:I13"/>
    <mergeCell ref="D12:E12"/>
    <mergeCell ref="A5:E5"/>
    <mergeCell ref="G12:J12"/>
    <mergeCell ref="F5:S5"/>
    <mergeCell ref="O12:P12"/>
    <mergeCell ref="A12:B12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I310"/>
  <sheetViews>
    <sheetView zoomScaleNormal="100" workbookViewId="0">
      <selection activeCell="B1" sqref="B1"/>
    </sheetView>
  </sheetViews>
  <sheetFormatPr defaultRowHeight="16.5" x14ac:dyDescent="0.3"/>
  <cols>
    <col min="4" max="4" width="12.75" customWidth="1"/>
    <col min="7" max="7" width="9" customWidth="1"/>
    <col min="11" max="28" width="5.875" customWidth="1"/>
    <col min="29" max="29" width="6.25" customWidth="1"/>
  </cols>
  <sheetData>
    <row r="1" spans="1:6" x14ac:dyDescent="0.3">
      <c r="A1" t="s">
        <v>113</v>
      </c>
    </row>
    <row r="3" spans="1:6" x14ac:dyDescent="0.3">
      <c r="A3" t="s">
        <v>109</v>
      </c>
    </row>
    <row r="4" spans="1:6" x14ac:dyDescent="0.3">
      <c r="A4" t="s">
        <v>110</v>
      </c>
    </row>
    <row r="5" spans="1:6" x14ac:dyDescent="0.3">
      <c r="B5" t="s">
        <v>174</v>
      </c>
    </row>
    <row r="7" spans="1:6" x14ac:dyDescent="0.3">
      <c r="B7" t="s">
        <v>311</v>
      </c>
    </row>
    <row r="9" spans="1:6" x14ac:dyDescent="0.3">
      <c r="B9" t="s">
        <v>148</v>
      </c>
    </row>
    <row r="10" spans="1:6" x14ac:dyDescent="0.3">
      <c r="B10" t="s">
        <v>139</v>
      </c>
    </row>
    <row r="12" spans="1:6" x14ac:dyDescent="0.3">
      <c r="C12" t="s">
        <v>247</v>
      </c>
    </row>
    <row r="14" spans="1:6" x14ac:dyDescent="0.3">
      <c r="C14" s="2" t="s">
        <v>53</v>
      </c>
      <c r="F14" s="2"/>
    </row>
    <row r="15" spans="1:6" x14ac:dyDescent="0.3">
      <c r="C15" s="2"/>
      <c r="F15" s="2"/>
    </row>
    <row r="16" spans="1:6" x14ac:dyDescent="0.3">
      <c r="C16" s="65" t="s">
        <v>248</v>
      </c>
    </row>
    <row r="17" spans="3:4" x14ac:dyDescent="0.3">
      <c r="C17" s="4"/>
    </row>
    <row r="18" spans="3:4" x14ac:dyDescent="0.3">
      <c r="D18" s="4"/>
    </row>
    <row r="19" spans="3:4" x14ac:dyDescent="0.3">
      <c r="D19" s="4"/>
    </row>
    <row r="20" spans="3:4" x14ac:dyDescent="0.3">
      <c r="D20" s="4"/>
    </row>
    <row r="21" spans="3:4" x14ac:dyDescent="0.3">
      <c r="D21" s="4"/>
    </row>
    <row r="22" spans="3:4" x14ac:dyDescent="0.3">
      <c r="D22" s="4"/>
    </row>
    <row r="23" spans="3:4" x14ac:dyDescent="0.3">
      <c r="D23" s="4"/>
    </row>
    <row r="24" spans="3:4" x14ac:dyDescent="0.3">
      <c r="D24" s="4"/>
    </row>
    <row r="25" spans="3:4" x14ac:dyDescent="0.3">
      <c r="D25" s="4"/>
    </row>
    <row r="26" spans="3:4" x14ac:dyDescent="0.3">
      <c r="D26" s="4"/>
    </row>
    <row r="27" spans="3:4" x14ac:dyDescent="0.3">
      <c r="D27" s="4"/>
    </row>
    <row r="28" spans="3:4" x14ac:dyDescent="0.3">
      <c r="D28" s="4"/>
    </row>
    <row r="29" spans="3:4" x14ac:dyDescent="0.3">
      <c r="D29" s="4"/>
    </row>
    <row r="37" spans="1:7" x14ac:dyDescent="0.3">
      <c r="A37" t="s">
        <v>111</v>
      </c>
    </row>
    <row r="38" spans="1:7" x14ac:dyDescent="0.3">
      <c r="B38" s="2" t="s">
        <v>146</v>
      </c>
    </row>
    <row r="40" spans="1:7" x14ac:dyDescent="0.3">
      <c r="C40" s="1" t="s">
        <v>67</v>
      </c>
      <c r="E40" t="s">
        <v>155</v>
      </c>
      <c r="G40" s="2"/>
    </row>
    <row r="41" spans="1:7" x14ac:dyDescent="0.3">
      <c r="C41" s="1"/>
      <c r="G41" s="2"/>
    </row>
    <row r="43" spans="1:7" x14ac:dyDescent="0.3">
      <c r="C43" t="s">
        <v>28</v>
      </c>
      <c r="D43" t="s">
        <v>25</v>
      </c>
    </row>
    <row r="44" spans="1:7" x14ac:dyDescent="0.3">
      <c r="C44" t="s">
        <v>27</v>
      </c>
      <c r="D44" t="s">
        <v>147</v>
      </c>
    </row>
    <row r="46" spans="1:7" x14ac:dyDescent="0.3">
      <c r="D46" t="s">
        <v>8</v>
      </c>
      <c r="G46" t="s">
        <v>15</v>
      </c>
    </row>
    <row r="47" spans="1:7" x14ac:dyDescent="0.3">
      <c r="D47" t="s">
        <v>7</v>
      </c>
      <c r="G47" t="s">
        <v>143</v>
      </c>
    </row>
    <row r="48" spans="1:7" x14ac:dyDescent="0.3">
      <c r="D48" t="s">
        <v>9</v>
      </c>
      <c r="G48" t="s">
        <v>16</v>
      </c>
    </row>
    <row r="49" spans="1:7" x14ac:dyDescent="0.3">
      <c r="D49" t="s">
        <v>267</v>
      </c>
      <c r="G49" t="s">
        <v>16</v>
      </c>
    </row>
    <row r="50" spans="1:7" x14ac:dyDescent="0.3">
      <c r="D50" t="s">
        <v>10</v>
      </c>
      <c r="G50" t="s">
        <v>51</v>
      </c>
    </row>
    <row r="51" spans="1:7" x14ac:dyDescent="0.3">
      <c r="D51" t="s">
        <v>11</v>
      </c>
      <c r="G51" t="s">
        <v>52</v>
      </c>
    </row>
    <row r="53" spans="1:7" x14ac:dyDescent="0.3">
      <c r="D53" t="s">
        <v>42</v>
      </c>
    </row>
    <row r="54" spans="1:7" x14ac:dyDescent="0.3">
      <c r="D54" t="s">
        <v>41</v>
      </c>
    </row>
    <row r="56" spans="1:7" x14ac:dyDescent="0.3">
      <c r="C56" t="s">
        <v>6</v>
      </c>
      <c r="D56" t="s">
        <v>17</v>
      </c>
    </row>
    <row r="57" spans="1:7" x14ac:dyDescent="0.3">
      <c r="C57" t="s">
        <v>1</v>
      </c>
      <c r="D57" t="s">
        <v>18</v>
      </c>
    </row>
    <row r="58" spans="1:7" x14ac:dyDescent="0.3">
      <c r="C58" t="s">
        <v>21</v>
      </c>
      <c r="D58" t="s">
        <v>22</v>
      </c>
    </row>
    <row r="59" spans="1:7" ht="17.25" x14ac:dyDescent="0.3">
      <c r="C59" t="s">
        <v>19</v>
      </c>
      <c r="D59" t="s">
        <v>20</v>
      </c>
    </row>
    <row r="63" spans="1:7" x14ac:dyDescent="0.3">
      <c r="A63" t="s">
        <v>112</v>
      </c>
    </row>
    <row r="64" spans="1:7" x14ac:dyDescent="0.3">
      <c r="B64" s="2"/>
    </row>
    <row r="65" spans="2:6" x14ac:dyDescent="0.3">
      <c r="C65" s="1" t="s">
        <v>68</v>
      </c>
    </row>
    <row r="67" spans="2:6" x14ac:dyDescent="0.3">
      <c r="C67" t="s">
        <v>28</v>
      </c>
      <c r="D67" t="s">
        <v>25</v>
      </c>
    </row>
    <row r="68" spans="2:6" x14ac:dyDescent="0.3">
      <c r="C68" t="s">
        <v>49</v>
      </c>
      <c r="D68" t="s">
        <v>156</v>
      </c>
    </row>
    <row r="69" spans="2:6" x14ac:dyDescent="0.3">
      <c r="C69" t="s">
        <v>157</v>
      </c>
      <c r="D69" t="s">
        <v>22</v>
      </c>
    </row>
    <row r="70" spans="2:6" ht="17.25" x14ac:dyDescent="0.3">
      <c r="C70" t="s">
        <v>19</v>
      </c>
      <c r="D70" t="s">
        <v>20</v>
      </c>
    </row>
    <row r="74" spans="2:6" x14ac:dyDescent="0.3">
      <c r="C74" s="2"/>
    </row>
    <row r="75" spans="2:6" x14ac:dyDescent="0.3">
      <c r="B75" s="2" t="s">
        <v>40</v>
      </c>
      <c r="C75" s="2"/>
    </row>
    <row r="77" spans="2:6" x14ac:dyDescent="0.3">
      <c r="D77" t="s">
        <v>44</v>
      </c>
      <c r="F77" t="s">
        <v>34</v>
      </c>
    </row>
    <row r="81" spans="2:6" x14ac:dyDescent="0.3">
      <c r="D81" t="s">
        <v>45</v>
      </c>
      <c r="F81" t="s">
        <v>35</v>
      </c>
    </row>
    <row r="85" spans="2:6" x14ac:dyDescent="0.3">
      <c r="D85" t="s">
        <v>46</v>
      </c>
      <c r="F85" t="s">
        <v>36</v>
      </c>
    </row>
    <row r="90" spans="2:6" x14ac:dyDescent="0.3">
      <c r="B90" s="2" t="s">
        <v>26</v>
      </c>
      <c r="D90" t="s">
        <v>99</v>
      </c>
    </row>
    <row r="93" spans="2:6" x14ac:dyDescent="0.3">
      <c r="D93" t="s">
        <v>33</v>
      </c>
    </row>
    <row r="94" spans="2:6" x14ac:dyDescent="0.3">
      <c r="D94" s="8" t="s">
        <v>31</v>
      </c>
      <c r="E94" s="8" t="s">
        <v>37</v>
      </c>
    </row>
    <row r="95" spans="2:6" x14ac:dyDescent="0.3">
      <c r="D95">
        <v>15</v>
      </c>
      <c r="E95">
        <v>7.0000000000000007E-2</v>
      </c>
    </row>
    <row r="96" spans="2:6" x14ac:dyDescent="0.3">
      <c r="D96">
        <v>22.5</v>
      </c>
      <c r="E96">
        <v>0.08</v>
      </c>
    </row>
    <row r="97" spans="4:8" x14ac:dyDescent="0.3">
      <c r="D97">
        <v>30</v>
      </c>
      <c r="E97" s="7">
        <v>0.1</v>
      </c>
    </row>
    <row r="98" spans="4:8" x14ac:dyDescent="0.3">
      <c r="D98">
        <v>45</v>
      </c>
      <c r="E98">
        <v>0.13</v>
      </c>
    </row>
    <row r="99" spans="4:8" x14ac:dyDescent="0.3">
      <c r="D99">
        <v>60</v>
      </c>
      <c r="E99">
        <v>0.14000000000000001</v>
      </c>
    </row>
    <row r="100" spans="4:8" x14ac:dyDescent="0.3">
      <c r="D100" s="5">
        <v>90</v>
      </c>
      <c r="E100" s="5">
        <v>0.17</v>
      </c>
    </row>
    <row r="101" spans="4:8" x14ac:dyDescent="0.3">
      <c r="D101" t="s">
        <v>32</v>
      </c>
    </row>
    <row r="104" spans="4:8" x14ac:dyDescent="0.3">
      <c r="D104" t="s">
        <v>89</v>
      </c>
    </row>
    <row r="105" spans="4:8" x14ac:dyDescent="0.3">
      <c r="D105" s="8" t="s">
        <v>88</v>
      </c>
      <c r="E105" s="8"/>
      <c r="F105" s="8" t="s">
        <v>87</v>
      </c>
      <c r="G105" s="8" t="s">
        <v>92</v>
      </c>
      <c r="H105" s="8"/>
    </row>
    <row r="106" spans="4:8" x14ac:dyDescent="0.3">
      <c r="D106" t="s">
        <v>84</v>
      </c>
      <c r="F106">
        <v>0.17</v>
      </c>
    </row>
    <row r="107" spans="4:8" x14ac:dyDescent="0.3">
      <c r="D107" t="s">
        <v>85</v>
      </c>
      <c r="F107">
        <v>0.28999999999999998</v>
      </c>
    </row>
    <row r="108" spans="4:8" x14ac:dyDescent="0.3">
      <c r="D108" t="s">
        <v>86</v>
      </c>
      <c r="F108">
        <v>0.13</v>
      </c>
    </row>
    <row r="109" spans="4:8" x14ac:dyDescent="0.3">
      <c r="D109" t="s">
        <v>91</v>
      </c>
      <c r="F109">
        <v>0.3</v>
      </c>
      <c r="G109" t="s">
        <v>140</v>
      </c>
    </row>
    <row r="110" spans="4:8" x14ac:dyDescent="0.3">
      <c r="D110" s="5" t="s">
        <v>90</v>
      </c>
      <c r="E110" s="5"/>
      <c r="F110" s="5">
        <v>0.21</v>
      </c>
      <c r="G110" s="5" t="s">
        <v>140</v>
      </c>
      <c r="H110" s="5"/>
    </row>
    <row r="114" spans="2:5" x14ac:dyDescent="0.3">
      <c r="B114" s="2" t="s">
        <v>39</v>
      </c>
    </row>
    <row r="115" spans="2:5" x14ac:dyDescent="0.3">
      <c r="B115" s="2"/>
      <c r="D115" t="s">
        <v>149</v>
      </c>
    </row>
    <row r="116" spans="2:5" x14ac:dyDescent="0.3">
      <c r="B116" s="2"/>
      <c r="C116" s="1"/>
      <c r="D116" t="s">
        <v>202</v>
      </c>
    </row>
    <row r="117" spans="2:5" x14ac:dyDescent="0.3">
      <c r="C117" s="1"/>
    </row>
    <row r="118" spans="2:5" x14ac:dyDescent="0.3">
      <c r="C118" s="1"/>
      <c r="D118" t="s">
        <v>150</v>
      </c>
    </row>
    <row r="119" spans="2:5" x14ac:dyDescent="0.3">
      <c r="C119" s="1"/>
      <c r="D119" s="8" t="s">
        <v>31</v>
      </c>
      <c r="E119" s="8" t="s">
        <v>38</v>
      </c>
    </row>
    <row r="120" spans="2:5" x14ac:dyDescent="0.3">
      <c r="C120" s="1"/>
      <c r="D120">
        <v>15</v>
      </c>
      <c r="E120" s="9">
        <v>2.1999999999999999E-2</v>
      </c>
    </row>
    <row r="121" spans="2:5" x14ac:dyDescent="0.3">
      <c r="D121">
        <v>30</v>
      </c>
      <c r="E121" s="9">
        <v>7.2999999999999995E-2</v>
      </c>
    </row>
    <row r="122" spans="2:5" x14ac:dyDescent="0.3">
      <c r="D122">
        <v>45</v>
      </c>
      <c r="E122" s="9">
        <v>0.183</v>
      </c>
    </row>
    <row r="123" spans="2:5" x14ac:dyDescent="0.3">
      <c r="D123">
        <v>60</v>
      </c>
      <c r="E123" s="9">
        <v>0.36499999999999999</v>
      </c>
    </row>
    <row r="124" spans="2:5" x14ac:dyDescent="0.3">
      <c r="D124">
        <v>90</v>
      </c>
      <c r="E124" s="9">
        <v>0.99</v>
      </c>
    </row>
    <row r="125" spans="2:5" x14ac:dyDescent="0.3">
      <c r="D125" s="5">
        <v>120</v>
      </c>
      <c r="E125" s="10">
        <v>1.86</v>
      </c>
    </row>
    <row r="130" spans="2:4" x14ac:dyDescent="0.3">
      <c r="B130" s="2" t="s">
        <v>177</v>
      </c>
    </row>
    <row r="131" spans="2:4" x14ac:dyDescent="0.3">
      <c r="D131" t="s">
        <v>184</v>
      </c>
    </row>
    <row r="133" spans="2:4" x14ac:dyDescent="0.3">
      <c r="D133" t="s">
        <v>54</v>
      </c>
    </row>
    <row r="139" spans="2:4" x14ac:dyDescent="0.3">
      <c r="B139" s="2" t="s">
        <v>178</v>
      </c>
    </row>
    <row r="140" spans="2:4" x14ac:dyDescent="0.3">
      <c r="D140" t="s">
        <v>62</v>
      </c>
    </row>
    <row r="142" spans="2:4" x14ac:dyDescent="0.3">
      <c r="D142" t="s">
        <v>55</v>
      </c>
    </row>
    <row r="144" spans="2:4" x14ac:dyDescent="0.3">
      <c r="D144" t="s">
        <v>66</v>
      </c>
    </row>
    <row r="147" spans="2:4" x14ac:dyDescent="0.3">
      <c r="D147" t="s">
        <v>141</v>
      </c>
    </row>
    <row r="148" spans="2:4" x14ac:dyDescent="0.3">
      <c r="D148" t="s">
        <v>142</v>
      </c>
    </row>
    <row r="150" spans="2:4" x14ac:dyDescent="0.3">
      <c r="B150" s="2" t="s">
        <v>179</v>
      </c>
    </row>
    <row r="151" spans="2:4" x14ac:dyDescent="0.3">
      <c r="D151" t="s">
        <v>63</v>
      </c>
    </row>
    <row r="153" spans="2:4" x14ac:dyDescent="0.3">
      <c r="D153" t="s">
        <v>56</v>
      </c>
    </row>
    <row r="158" spans="2:4" x14ac:dyDescent="0.3">
      <c r="B158" s="2" t="s">
        <v>180</v>
      </c>
    </row>
    <row r="159" spans="2:4" x14ac:dyDescent="0.3">
      <c r="D159" t="s">
        <v>63</v>
      </c>
    </row>
    <row r="161" spans="2:4" x14ac:dyDescent="0.3">
      <c r="D161" t="s">
        <v>64</v>
      </c>
    </row>
    <row r="163" spans="2:4" x14ac:dyDescent="0.3">
      <c r="D163" t="s">
        <v>65</v>
      </c>
    </row>
    <row r="167" spans="2:4" x14ac:dyDescent="0.3">
      <c r="B167" s="2" t="s">
        <v>58</v>
      </c>
    </row>
    <row r="168" spans="2:4" x14ac:dyDescent="0.3">
      <c r="D168" t="s">
        <v>57</v>
      </c>
    </row>
    <row r="178" spans="2:6" x14ac:dyDescent="0.3">
      <c r="B178" s="2" t="s">
        <v>60</v>
      </c>
    </row>
    <row r="179" spans="2:6" x14ac:dyDescent="0.3">
      <c r="D179" t="s">
        <v>61</v>
      </c>
    </row>
    <row r="181" spans="2:6" x14ac:dyDescent="0.3">
      <c r="D181" t="s">
        <v>80</v>
      </c>
    </row>
    <row r="184" spans="2:6" x14ac:dyDescent="0.3">
      <c r="C184" t="s">
        <v>69</v>
      </c>
      <c r="F184" t="s">
        <v>70</v>
      </c>
    </row>
    <row r="187" spans="2:6" x14ac:dyDescent="0.3">
      <c r="C187" t="s">
        <v>72</v>
      </c>
      <c r="F187" t="s">
        <v>83</v>
      </c>
    </row>
    <row r="190" spans="2:6" x14ac:dyDescent="0.3">
      <c r="C190" t="s">
        <v>151</v>
      </c>
      <c r="F190" t="s">
        <v>71</v>
      </c>
    </row>
    <row r="193" spans="3:9" x14ac:dyDescent="0.3">
      <c r="C193" t="s">
        <v>171</v>
      </c>
      <c r="F193" t="s">
        <v>79</v>
      </c>
    </row>
    <row r="194" spans="3:9" x14ac:dyDescent="0.3">
      <c r="F194" t="s">
        <v>173</v>
      </c>
    </row>
    <row r="196" spans="3:9" x14ac:dyDescent="0.3">
      <c r="E196" s="8" t="s">
        <v>73</v>
      </c>
      <c r="F196" s="8" t="s">
        <v>144</v>
      </c>
      <c r="H196" t="s">
        <v>124</v>
      </c>
      <c r="I196" t="s">
        <v>125</v>
      </c>
    </row>
    <row r="197" spans="3:9" x14ac:dyDescent="0.3">
      <c r="E197">
        <v>15</v>
      </c>
      <c r="F197" s="9">
        <v>1</v>
      </c>
      <c r="H197" s="13"/>
      <c r="I197" s="12">
        <f>LOOKUP(H197,{0,25,50,100,150,200,250,300},{1,0.25,0.19,0.16,0.15,0.11,0.05,0})</f>
        <v>1</v>
      </c>
    </row>
    <row r="198" spans="3:9" x14ac:dyDescent="0.3">
      <c r="E198">
        <v>25</v>
      </c>
      <c r="F198" s="9">
        <v>0.25</v>
      </c>
    </row>
    <row r="199" spans="3:9" x14ac:dyDescent="0.3">
      <c r="E199">
        <v>50</v>
      </c>
      <c r="F199" s="9">
        <v>0.19</v>
      </c>
    </row>
    <row r="200" spans="3:9" x14ac:dyDescent="0.3">
      <c r="E200">
        <v>100</v>
      </c>
      <c r="F200" s="9">
        <v>0.16</v>
      </c>
    </row>
    <row r="201" spans="3:9" x14ac:dyDescent="0.3">
      <c r="E201">
        <v>150</v>
      </c>
      <c r="F201" s="9">
        <v>0.15</v>
      </c>
    </row>
    <row r="202" spans="3:9" x14ac:dyDescent="0.3">
      <c r="E202">
        <v>200</v>
      </c>
      <c r="F202" s="9">
        <v>0.11</v>
      </c>
    </row>
    <row r="203" spans="3:9" x14ac:dyDescent="0.3">
      <c r="E203">
        <v>250</v>
      </c>
      <c r="F203" s="9">
        <v>0.05</v>
      </c>
    </row>
    <row r="204" spans="3:9" x14ac:dyDescent="0.3">
      <c r="E204" s="5" t="s">
        <v>74</v>
      </c>
      <c r="F204" s="11">
        <v>0</v>
      </c>
      <c r="G204" t="s">
        <v>75</v>
      </c>
    </row>
    <row r="208" spans="3:9" x14ac:dyDescent="0.3">
      <c r="C208" t="s">
        <v>76</v>
      </c>
      <c r="F208" t="s">
        <v>79</v>
      </c>
    </row>
    <row r="211" spans="3:9" x14ac:dyDescent="0.3">
      <c r="E211" s="8" t="s">
        <v>73</v>
      </c>
      <c r="F211" s="8" t="s">
        <v>144</v>
      </c>
      <c r="H211" t="s">
        <v>124</v>
      </c>
      <c r="I211" t="s">
        <v>125</v>
      </c>
    </row>
    <row r="212" spans="3:9" x14ac:dyDescent="0.3">
      <c r="E212" t="s">
        <v>77</v>
      </c>
      <c r="F212" s="3">
        <v>0.4</v>
      </c>
      <c r="H212" s="13"/>
      <c r="I212" s="12">
        <f>LOOKUP(H212,{0,801,1351},{0.4,0.3,0.2})</f>
        <v>0.4</v>
      </c>
    </row>
    <row r="213" spans="3:9" x14ac:dyDescent="0.3">
      <c r="E213" t="s">
        <v>78</v>
      </c>
      <c r="F213" s="3">
        <v>0.3</v>
      </c>
    </row>
    <row r="214" spans="3:9" x14ac:dyDescent="0.3">
      <c r="E214" s="5" t="s">
        <v>100</v>
      </c>
      <c r="F214" s="6">
        <v>0.2</v>
      </c>
    </row>
    <row r="219" spans="3:9" x14ac:dyDescent="0.3">
      <c r="C219" t="s">
        <v>185</v>
      </c>
      <c r="F219" t="s">
        <v>79</v>
      </c>
    </row>
    <row r="221" spans="3:9" x14ac:dyDescent="0.3">
      <c r="E221" t="s">
        <v>188</v>
      </c>
    </row>
    <row r="222" spans="3:9" x14ac:dyDescent="0.3">
      <c r="E222" t="s">
        <v>189</v>
      </c>
    </row>
    <row r="224" spans="3:9" x14ac:dyDescent="0.3">
      <c r="E224" s="8" t="s">
        <v>73</v>
      </c>
      <c r="F224" s="8" t="s">
        <v>144</v>
      </c>
    </row>
    <row r="225" spans="3:6" x14ac:dyDescent="0.3">
      <c r="E225" t="s">
        <v>186</v>
      </c>
      <c r="F225" s="3">
        <v>6</v>
      </c>
    </row>
    <row r="226" spans="3:6" x14ac:dyDescent="0.3">
      <c r="E226" s="45" t="s">
        <v>175</v>
      </c>
      <c r="F226" s="46">
        <v>4</v>
      </c>
    </row>
    <row r="227" spans="3:6" x14ac:dyDescent="0.3">
      <c r="E227" s="5" t="s">
        <v>176</v>
      </c>
      <c r="F227" s="6">
        <v>2</v>
      </c>
    </row>
    <row r="230" spans="3:6" x14ac:dyDescent="0.3">
      <c r="C230" t="s">
        <v>190</v>
      </c>
    </row>
    <row r="232" spans="3:6" x14ac:dyDescent="0.3">
      <c r="F232" t="s">
        <v>187</v>
      </c>
    </row>
    <row r="235" spans="3:6" x14ac:dyDescent="0.3">
      <c r="C235" t="s">
        <v>191</v>
      </c>
    </row>
    <row r="236" spans="3:6" x14ac:dyDescent="0.3">
      <c r="F236" t="s">
        <v>201</v>
      </c>
    </row>
    <row r="239" spans="3:6" x14ac:dyDescent="0.3">
      <c r="C239" t="s">
        <v>192</v>
      </c>
    </row>
    <row r="240" spans="3:6" x14ac:dyDescent="0.3">
      <c r="F240" t="s">
        <v>201</v>
      </c>
    </row>
    <row r="243" spans="2:6" x14ac:dyDescent="0.3">
      <c r="C243" t="s">
        <v>198</v>
      </c>
    </row>
    <row r="245" spans="2:6" x14ac:dyDescent="0.3">
      <c r="F245" t="s">
        <v>187</v>
      </c>
    </row>
    <row r="247" spans="2:6" x14ac:dyDescent="0.3">
      <c r="C247" t="s">
        <v>199</v>
      </c>
    </row>
    <row r="249" spans="2:6" x14ac:dyDescent="0.3">
      <c r="F249" t="s">
        <v>187</v>
      </c>
    </row>
    <row r="252" spans="2:6" x14ac:dyDescent="0.3">
      <c r="B252" s="2" t="s">
        <v>145</v>
      </c>
    </row>
    <row r="253" spans="2:6" x14ac:dyDescent="0.3">
      <c r="C253" t="s">
        <v>153</v>
      </c>
    </row>
    <row r="254" spans="2:6" x14ac:dyDescent="0.3">
      <c r="C254" t="s">
        <v>152</v>
      </c>
    </row>
    <row r="257" spans="1:3" x14ac:dyDescent="0.3">
      <c r="C257" t="s">
        <v>170</v>
      </c>
    </row>
    <row r="258" spans="1:3" x14ac:dyDescent="0.3">
      <c r="C258" t="s">
        <v>154</v>
      </c>
    </row>
    <row r="266" spans="1:3" x14ac:dyDescent="0.3">
      <c r="A266" t="s">
        <v>114</v>
      </c>
    </row>
    <row r="267" spans="1:3" x14ac:dyDescent="0.3">
      <c r="A267" t="s">
        <v>319</v>
      </c>
    </row>
    <row r="268" spans="1:3" x14ac:dyDescent="0.3">
      <c r="B268" t="s">
        <v>320</v>
      </c>
    </row>
    <row r="270" spans="1:3" x14ac:dyDescent="0.3">
      <c r="B270" t="s">
        <v>252</v>
      </c>
    </row>
    <row r="271" spans="1:3" x14ac:dyDescent="0.3">
      <c r="B271" t="s">
        <v>257</v>
      </c>
    </row>
    <row r="272" spans="1:3" x14ac:dyDescent="0.3">
      <c r="B272" t="s">
        <v>321</v>
      </c>
    </row>
    <row r="274" spans="1:2" x14ac:dyDescent="0.3">
      <c r="B274" t="s">
        <v>253</v>
      </c>
    </row>
    <row r="275" spans="1:2" x14ac:dyDescent="0.3">
      <c r="B275" t="s">
        <v>254</v>
      </c>
    </row>
    <row r="276" spans="1:2" x14ac:dyDescent="0.3">
      <c r="B276" t="s">
        <v>255</v>
      </c>
    </row>
    <row r="278" spans="1:2" x14ac:dyDescent="0.3">
      <c r="B278" t="s">
        <v>256</v>
      </c>
    </row>
    <row r="279" spans="1:2" x14ac:dyDescent="0.3">
      <c r="B279" t="s">
        <v>322</v>
      </c>
    </row>
    <row r="281" spans="1:2" x14ac:dyDescent="0.3">
      <c r="A281" t="s">
        <v>299</v>
      </c>
    </row>
    <row r="282" spans="1:2" x14ac:dyDescent="0.3">
      <c r="B282" t="s">
        <v>293</v>
      </c>
    </row>
    <row r="284" spans="1:2" x14ac:dyDescent="0.3">
      <c r="B284" t="s">
        <v>269</v>
      </c>
    </row>
    <row r="285" spans="1:2" x14ac:dyDescent="0.3">
      <c r="B285" t="s">
        <v>294</v>
      </c>
    </row>
    <row r="286" spans="1:2" x14ac:dyDescent="0.3">
      <c r="B286" t="s">
        <v>259</v>
      </c>
    </row>
    <row r="287" spans="1:2" x14ac:dyDescent="0.3">
      <c r="B287" t="s">
        <v>262</v>
      </c>
    </row>
    <row r="288" spans="1:2" x14ac:dyDescent="0.3">
      <c r="B288" t="s">
        <v>270</v>
      </c>
    </row>
    <row r="289" spans="1:2" x14ac:dyDescent="0.3">
      <c r="B289" t="s">
        <v>260</v>
      </c>
    </row>
    <row r="290" spans="1:2" x14ac:dyDescent="0.3">
      <c r="B290" t="s">
        <v>271</v>
      </c>
    </row>
    <row r="292" spans="1:2" x14ac:dyDescent="0.3">
      <c r="A292" t="s">
        <v>298</v>
      </c>
    </row>
    <row r="293" spans="1:2" x14ac:dyDescent="0.3">
      <c r="B293" t="s">
        <v>296</v>
      </c>
    </row>
    <row r="294" spans="1:2" x14ac:dyDescent="0.3">
      <c r="B294" t="s">
        <v>297</v>
      </c>
    </row>
    <row r="296" spans="1:2" x14ac:dyDescent="0.3">
      <c r="A296" t="s">
        <v>300</v>
      </c>
    </row>
    <row r="297" spans="1:2" x14ac:dyDescent="0.3">
      <c r="B297" t="s">
        <v>272</v>
      </c>
    </row>
    <row r="299" spans="1:2" x14ac:dyDescent="0.3">
      <c r="A299" t="s">
        <v>313</v>
      </c>
    </row>
    <row r="300" spans="1:2" x14ac:dyDescent="0.3">
      <c r="B300" t="s">
        <v>301</v>
      </c>
    </row>
    <row r="301" spans="1:2" x14ac:dyDescent="0.3">
      <c r="B301" t="s">
        <v>302</v>
      </c>
    </row>
    <row r="304" spans="1:2" x14ac:dyDescent="0.3">
      <c r="A304" t="s">
        <v>258</v>
      </c>
    </row>
    <row r="305" spans="2:3" x14ac:dyDescent="0.3">
      <c r="B305" t="s">
        <v>284</v>
      </c>
      <c r="C305" t="s">
        <v>317</v>
      </c>
    </row>
    <row r="306" spans="2:3" x14ac:dyDescent="0.3">
      <c r="B306" t="s">
        <v>285</v>
      </c>
      <c r="C306" t="s">
        <v>282</v>
      </c>
    </row>
    <row r="307" spans="2:3" x14ac:dyDescent="0.3">
      <c r="B307" t="s">
        <v>286</v>
      </c>
      <c r="C307" t="s">
        <v>283</v>
      </c>
    </row>
    <row r="308" spans="2:3" x14ac:dyDescent="0.3">
      <c r="B308" t="s">
        <v>295</v>
      </c>
      <c r="C308" t="s">
        <v>316</v>
      </c>
    </row>
    <row r="309" spans="2:3" x14ac:dyDescent="0.3">
      <c r="B309" t="s">
        <v>314</v>
      </c>
      <c r="C309" t="s">
        <v>316</v>
      </c>
    </row>
    <row r="310" spans="2:3" x14ac:dyDescent="0.3">
      <c r="B310" t="s">
        <v>315</v>
      </c>
      <c r="C310" t="s">
        <v>316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入力1</vt:lpstr>
      <vt:lpstr>C形状1</vt:lpstr>
      <vt:lpstr>説明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 N</dc:creator>
  <cp:lastModifiedBy> </cp:lastModifiedBy>
  <cp:lastPrinted>2020-09-04T04:58:10Z</cp:lastPrinted>
  <dcterms:created xsi:type="dcterms:W3CDTF">2020-07-20T00:41:28Z</dcterms:created>
  <dcterms:modified xsi:type="dcterms:W3CDTF">2020-11-30T05:31:25Z</dcterms:modified>
</cp:coreProperties>
</file>